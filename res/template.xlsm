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989a1127fd583f/Desktop/Budget_Shiny_App/res/"/>
    </mc:Choice>
  </mc:AlternateContent>
  <xr:revisionPtr revIDLastSave="1099" documentId="8_{6B2AEAB5-0713-41DC-816E-175B1CC07033}" xr6:coauthVersionLast="47" xr6:coauthVersionMax="47" xr10:uidLastSave="{4E512A88-A1BC-4E3C-8299-ADA7E0417578}"/>
  <bookViews>
    <workbookView xWindow="-120" yWindow="-120" windowWidth="38640" windowHeight="21120" activeTab="3" xr2:uid="{4A682B92-E955-49E4-9CBC-FB857D42C240}"/>
  </bookViews>
  <sheets>
    <sheet name="Template" sheetId="3" r:id="rId1"/>
    <sheet name="2023-05" sheetId="14" r:id="rId2"/>
    <sheet name="2023-04" sheetId="13" r:id="rId3"/>
    <sheet name="2023-03" sheetId="12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4" l="1"/>
  <c r="I9" i="14"/>
  <c r="I10" i="14"/>
  <c r="I11" i="14"/>
  <c r="I12" i="14"/>
  <c r="I14" i="14"/>
  <c r="I16" i="14"/>
  <c r="I20" i="14"/>
  <c r="I21" i="14"/>
  <c r="I22" i="14"/>
  <c r="C2" i="14" a="1"/>
  <c r="C2" i="14" s="1"/>
  <c r="I22" i="13"/>
  <c r="I21" i="13"/>
  <c r="I20" i="13"/>
  <c r="I16" i="13"/>
  <c r="I14" i="13"/>
  <c r="I12" i="13"/>
  <c r="I11" i="13"/>
  <c r="I10" i="13"/>
  <c r="I9" i="13"/>
  <c r="I7" i="13"/>
  <c r="C2" i="13" a="1"/>
  <c r="C2" i="13" s="1"/>
  <c r="I22" i="12"/>
  <c r="I21" i="12"/>
  <c r="I20" i="12"/>
  <c r="I16" i="12"/>
  <c r="I14" i="12"/>
  <c r="I12" i="12"/>
  <c r="I11" i="12"/>
  <c r="I10" i="12"/>
  <c r="I9" i="12"/>
  <c r="I7" i="12"/>
  <c r="C2" i="12" a="1"/>
  <c r="C2" i="12" s="1"/>
  <c r="I22" i="3"/>
  <c r="I21" i="3"/>
  <c r="C2" i="3" a="1"/>
  <c r="C2" i="3" s="1"/>
  <c r="I20" i="3"/>
  <c r="I7" i="3"/>
  <c r="I9" i="3"/>
  <c r="I10" i="3"/>
  <c r="I11" i="3"/>
  <c r="I12" i="3"/>
  <c r="I14" i="3"/>
  <c r="I16" i="3"/>
  <c r="C21" i="3"/>
  <c r="C21" i="14"/>
  <c r="C21" i="13"/>
  <c r="L21" i="12"/>
  <c r="E2" i="3" l="1"/>
  <c r="E2" i="14"/>
  <c r="C8" i="14"/>
  <c r="E2" i="13"/>
  <c r="C8" i="13"/>
  <c r="C8" i="12"/>
  <c r="C9" i="12" s="1"/>
  <c r="C8" i="3"/>
  <c r="E2" i="12"/>
  <c r="C12" i="12"/>
  <c r="K19" i="3"/>
  <c r="K11" i="12"/>
  <c r="K10" i="12"/>
  <c r="K11" i="3"/>
  <c r="K14" i="13"/>
  <c r="K14" i="12"/>
  <c r="L9" i="13"/>
  <c r="L19" i="14"/>
  <c r="K12" i="3"/>
  <c r="L20" i="12"/>
  <c r="L9" i="14"/>
  <c r="L15" i="12"/>
  <c r="L11" i="12"/>
  <c r="L18" i="12"/>
  <c r="K20" i="12"/>
  <c r="L6" i="13"/>
  <c r="K10" i="3"/>
  <c r="C19" i="12"/>
  <c r="K7" i="13"/>
  <c r="L6" i="12"/>
  <c r="L20" i="13"/>
  <c r="K18" i="12"/>
  <c r="K15" i="12"/>
  <c r="L21" i="3"/>
  <c r="K7" i="12"/>
  <c r="L22" i="3"/>
  <c r="K15" i="3"/>
  <c r="K10" i="13"/>
  <c r="L19" i="3"/>
  <c r="C21" i="12"/>
  <c r="C11" i="12" a="1"/>
  <c r="K7" i="14"/>
  <c r="K21" i="3"/>
  <c r="L12" i="3"/>
  <c r="L6" i="14"/>
  <c r="K16" i="13"/>
  <c r="K18" i="13"/>
  <c r="L8" i="12"/>
  <c r="K22" i="14"/>
  <c r="K22" i="13"/>
  <c r="L17" i="12"/>
  <c r="L16" i="3"/>
  <c r="L12" i="14"/>
  <c r="C12" i="3"/>
  <c r="L12" i="13"/>
  <c r="K11" i="14"/>
  <c r="K8" i="13"/>
  <c r="C16" i="12"/>
  <c r="K17" i="3"/>
  <c r="L16" i="13"/>
  <c r="L10" i="14"/>
  <c r="L18" i="14"/>
  <c r="L14" i="3"/>
  <c r="L22" i="13"/>
  <c r="L13" i="13"/>
  <c r="L7" i="13"/>
  <c r="K8" i="14"/>
  <c r="K17" i="12"/>
  <c r="L21" i="14"/>
  <c r="C11" i="14" a="1"/>
  <c r="L13" i="3"/>
  <c r="K21" i="13"/>
  <c r="L14" i="14"/>
  <c r="L21" i="13"/>
  <c r="K22" i="3"/>
  <c r="C13" i="12"/>
  <c r="L15" i="3"/>
  <c r="K19" i="13"/>
  <c r="C11" i="3" a="1"/>
  <c r="K9" i="3"/>
  <c r="L9" i="12"/>
  <c r="L22" i="14"/>
  <c r="C11" i="13" a="1"/>
  <c r="K8" i="12"/>
  <c r="K15" i="14"/>
  <c r="K14" i="14"/>
  <c r="C13" i="13"/>
  <c r="K20" i="13"/>
  <c r="L7" i="14"/>
  <c r="L9" i="3"/>
  <c r="K6" i="14"/>
  <c r="K16" i="14"/>
  <c r="K19" i="12"/>
  <c r="C19" i="13"/>
  <c r="L11" i="3"/>
  <c r="K12" i="14"/>
  <c r="L17" i="14"/>
  <c r="C12" i="13"/>
  <c r="K17" i="14"/>
  <c r="L19" i="12"/>
  <c r="K14" i="3"/>
  <c r="K9" i="13"/>
  <c r="C16" i="13"/>
  <c r="K21" i="12"/>
  <c r="L10" i="13"/>
  <c r="K11" i="13"/>
  <c r="K9" i="12"/>
  <c r="C19" i="3"/>
  <c r="C12" i="14"/>
  <c r="K18" i="3"/>
  <c r="K9" i="14"/>
  <c r="L6" i="3"/>
  <c r="K10" i="14"/>
  <c r="L8" i="13"/>
  <c r="L16" i="14"/>
  <c r="K7" i="3"/>
  <c r="K6" i="12"/>
  <c r="K16" i="3"/>
  <c r="K13" i="3"/>
  <c r="K12" i="12"/>
  <c r="L11" i="13"/>
  <c r="L11" i="14"/>
  <c r="L7" i="12"/>
  <c r="K6" i="13"/>
  <c r="L20" i="14"/>
  <c r="K6" i="3"/>
  <c r="C16" i="14"/>
  <c r="L13" i="14"/>
  <c r="L17" i="3"/>
  <c r="K21" i="14"/>
  <c r="K8" i="3"/>
  <c r="K17" i="13"/>
  <c r="L18" i="3"/>
  <c r="K19" i="14"/>
  <c r="K22" i="12"/>
  <c r="L7" i="3"/>
  <c r="C19" i="14"/>
  <c r="L8" i="14"/>
  <c r="C13" i="14"/>
  <c r="L20" i="3"/>
  <c r="L18" i="13"/>
  <c r="L22" i="12"/>
  <c r="L14" i="12"/>
  <c r="K13" i="14"/>
  <c r="C13" i="3"/>
  <c r="K15" i="13"/>
  <c r="L15" i="13"/>
  <c r="L12" i="12"/>
  <c r="K20" i="14"/>
  <c r="K20" i="3"/>
  <c r="L14" i="13"/>
  <c r="L13" i="12"/>
  <c r="L16" i="12"/>
  <c r="C16" i="3"/>
  <c r="L8" i="3"/>
  <c r="K13" i="12"/>
  <c r="K13" i="13"/>
  <c r="L17" i="13"/>
  <c r="K12" i="13"/>
  <c r="L19" i="13"/>
  <c r="L10" i="12"/>
  <c r="K18" i="14"/>
  <c r="L10" i="3"/>
  <c r="L15" i="14"/>
  <c r="K16" i="12"/>
  <c r="C22" i="12" l="1"/>
  <c r="C11" i="12"/>
  <c r="C14" i="12" s="1"/>
  <c r="C20" i="12"/>
  <c r="C20" i="13"/>
  <c r="C22" i="13"/>
  <c r="C11" i="13"/>
  <c r="C22" i="14"/>
  <c r="C20" i="14"/>
  <c r="C11" i="14"/>
  <c r="C22" i="3"/>
  <c r="C20" i="3"/>
  <c r="C11" i="3"/>
  <c r="C14" i="3" s="1"/>
  <c r="M22" i="12"/>
  <c r="M20" i="14"/>
  <c r="M21" i="14"/>
  <c r="M22" i="14"/>
  <c r="M21" i="12"/>
  <c r="M20" i="12"/>
  <c r="M9" i="12"/>
  <c r="M11" i="12"/>
  <c r="M7" i="12"/>
  <c r="M10" i="12"/>
  <c r="M12" i="12"/>
  <c r="M14" i="12"/>
  <c r="M16" i="12"/>
  <c r="M9" i="13"/>
  <c r="M10" i="13"/>
  <c r="M12" i="13"/>
  <c r="M14" i="13"/>
  <c r="M11" i="13"/>
  <c r="M7" i="13"/>
  <c r="M21" i="13"/>
  <c r="M20" i="13"/>
  <c r="M16" i="13"/>
  <c r="M22" i="13"/>
  <c r="C9" i="13"/>
  <c r="M11" i="3"/>
  <c r="M7" i="3"/>
  <c r="M10" i="3"/>
  <c r="M12" i="3"/>
  <c r="M14" i="3"/>
  <c r="M16" i="3"/>
  <c r="M20" i="3"/>
  <c r="M9" i="3"/>
  <c r="M21" i="3"/>
  <c r="M22" i="3"/>
  <c r="M11" i="14"/>
  <c r="M14" i="14"/>
  <c r="M7" i="14"/>
  <c r="M10" i="14"/>
  <c r="M12" i="14"/>
  <c r="M9" i="14"/>
  <c r="M16" i="14"/>
  <c r="C9" i="14"/>
  <c r="C9" i="3"/>
  <c r="I19" i="3"/>
  <c r="I15" i="3"/>
  <c r="I6" i="3"/>
  <c r="I13" i="3"/>
  <c r="I18" i="3"/>
  <c r="I17" i="3"/>
  <c r="I8" i="3"/>
  <c r="C14" i="13" l="1"/>
  <c r="C14" i="14"/>
  <c r="C17" i="12"/>
  <c r="C17" i="13"/>
  <c r="C17" i="14"/>
  <c r="C17" i="3"/>
  <c r="M8" i="3"/>
  <c r="M15" i="3"/>
  <c r="M6" i="3"/>
  <c r="M13" i="3"/>
  <c r="M17" i="3"/>
  <c r="M18" i="3"/>
  <c r="M19" i="3"/>
  <c r="I19" i="12"/>
  <c r="M19" i="12" l="1"/>
  <c r="I19" i="13"/>
  <c r="I18" i="12"/>
  <c r="M18" i="12" l="1"/>
  <c r="M19" i="13"/>
  <c r="I19" i="14"/>
  <c r="I18" i="13"/>
  <c r="M18" i="13" l="1"/>
  <c r="M19" i="14"/>
  <c r="I17" i="12"/>
  <c r="I8" i="12"/>
  <c r="I18" i="14"/>
  <c r="I6" i="12"/>
  <c r="I13" i="12"/>
  <c r="I15" i="12"/>
  <c r="M17" i="12" l="1"/>
  <c r="M13" i="12"/>
  <c r="M6" i="12"/>
  <c r="M15" i="12"/>
  <c r="M8" i="12"/>
  <c r="M18" i="14"/>
  <c r="I17" i="13"/>
  <c r="I15" i="13"/>
  <c r="I8" i="13"/>
  <c r="I13" i="13"/>
  <c r="I6" i="13"/>
  <c r="M8" i="13" l="1"/>
  <c r="M15" i="13"/>
  <c r="M13" i="13"/>
  <c r="M17" i="13"/>
  <c r="M6" i="13"/>
  <c r="I17" i="14"/>
  <c r="I13" i="14"/>
  <c r="I6" i="14"/>
  <c r="I15" i="14"/>
  <c r="I8" i="14"/>
  <c r="M17" i="14" l="1"/>
  <c r="M6" i="14"/>
  <c r="M13" i="14"/>
  <c r="M15" i="14"/>
  <c r="M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<sst xmlns="http://schemas.openxmlformats.org/spreadsheetml/2006/main" count="252" uniqueCount="42">
  <si>
    <t>Budgets</t>
  </si>
  <si>
    <t>Type</t>
  </si>
  <si>
    <t>Amount</t>
  </si>
  <si>
    <t>Rollover From Last Month</t>
  </si>
  <si>
    <t>Remaining Budget</t>
  </si>
  <si>
    <t>Name</t>
  </si>
  <si>
    <t>Income</t>
  </si>
  <si>
    <t>Expected Retirement Contributions:</t>
  </si>
  <si>
    <t>Expected Taxes:</t>
  </si>
  <si>
    <t>Expected Gross Income (Andy):</t>
  </si>
  <si>
    <t>Expected Gross Income (Sara):</t>
  </si>
  <si>
    <t>Expected Net Income:</t>
  </si>
  <si>
    <t>Rolling</t>
  </si>
  <si>
    <t>Fixed</t>
  </si>
  <si>
    <t>Override Rollover Amount</t>
  </si>
  <si>
    <t>Total Unbudgeted Amount:</t>
  </si>
  <si>
    <t>Transactions</t>
  </si>
  <si>
    <t>Date</t>
  </si>
  <si>
    <t>Location</t>
  </si>
  <si>
    <t>Description</t>
  </si>
  <si>
    <t>Category</t>
  </si>
  <si>
    <t>Current Month:</t>
  </si>
  <si>
    <t>Previous Month:</t>
  </si>
  <si>
    <t>Total Savings:</t>
  </si>
  <si>
    <t>Saving</t>
  </si>
  <si>
    <t>First Monday</t>
  </si>
  <si>
    <t>Second Monday</t>
  </si>
  <si>
    <t>Third Monday</t>
  </si>
  <si>
    <t>Fourth Monday</t>
  </si>
  <si>
    <t>Fifth Monday</t>
  </si>
  <si>
    <t>Account Balances</t>
  </si>
  <si>
    <t>Source</t>
  </si>
  <si>
    <t>Actual Net Income:</t>
  </si>
  <si>
    <t>Total Budgeted Amount:</t>
  </si>
  <si>
    <t>Income vs. Budgeted Income</t>
  </si>
  <si>
    <t>Total Debits</t>
  </si>
  <si>
    <t>Total Credits</t>
  </si>
  <si>
    <t>Total Expenses:</t>
  </si>
  <si>
    <t>Total Spent:</t>
  </si>
  <si>
    <t>Total Expenses Remaining:</t>
  </si>
  <si>
    <t>Total Saved</t>
  </si>
  <si>
    <t>Total Savings Remaining: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</si>
</sst>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&quot;$&quot;#,##0.00;[Red]&quot;$&quot;#,##0.00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9ED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8" fontId="0" fillId="0" borderId="0" xfId="0" applyNumberFormat="1"/>
    <xf numFmtId="164" fontId="0" fillId="0" borderId="0" xfId="0" applyNumberFormat="1"/>
    <xf numFmtId="6" fontId="0" fillId="2" borderId="1" xfId="0" applyNumberFormat="1" applyFill="1" applyBorder="1" applyProtection="1">
      <protection locked="0"/>
    </xf>
    <xf numFmtId="8" fontId="0" fillId="2" borderId="1" xfId="0" applyNumberFormat="1" applyFill="1" applyBorder="1" applyProtection="1">
      <protection locked="0"/>
    </xf>
    <xf numFmtId="0" fontId="0" fillId="2" borderId="1" xfId="0" applyFill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right" readingOrder="2"/>
      <protection locked="0"/>
    </xf>
    <xf numFmtId="14" fontId="0" fillId="2" borderId="1" xfId="0" applyNumberFormat="1" applyFill="1" applyBorder="1" applyProtection="1">
      <protection locked="0"/>
    </xf>
    <xf numFmtId="0" fontId="0" fillId="2" borderId="2" xfId="0" applyFill="1" applyBorder="1" applyProtection="1">
      <protection locked="0"/>
    </xf>
    <xf numFmtId="1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4" fontId="0" fillId="2" borderId="2" xfId="0" applyNumberFormat="1" applyFill="1" applyBorder="1" applyAlignment="1" applyProtection="1">
      <alignment horizontal="right" readingOrder="2"/>
      <protection locked="0"/>
    </xf>
    <xf numFmtId="165" fontId="0" fillId="2" borderId="1" xfId="0" applyNumberFormat="1" applyFill="1" applyBorder="1" applyProtection="1">
      <protection locked="0"/>
    </xf>
    <xf numFmtId="165" fontId="0" fillId="2" borderId="1" xfId="0" applyNumberFormat="1" applyFill="1" applyBorder="1"/>
    <xf numFmtId="165" fontId="0" fillId="2" borderId="2" xfId="0" applyNumberFormat="1" applyFill="1" applyBorder="1" applyProtection="1">
      <protection locked="0"/>
    </xf>
    <xf numFmtId="165" fontId="0" fillId="2" borderId="2" xfId="0" applyNumberFormat="1" applyFill="1" applyBorder="1"/>
    <xf numFmtId="164" fontId="0" fillId="2" borderId="1" xfId="0" applyNumberFormat="1" applyFill="1" applyBorder="1"/>
    <xf numFmtId="164" fontId="0" fillId="2" borderId="2" xfId="0" applyNumberFormat="1" applyFill="1" applyBorder="1"/>
  </cellXfs>
  <cellStyles count="1">
    <cellStyle name="Normal" xfId="0" builtinId="0"/>
  </cellStyles>
  <dxfs count="145"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00B050"/>
      </font>
    </dxf>
    <dxf>
      <font>
        <color rgb="FFFF0000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rgb="FF000000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9" formatCode="m/d/yyyy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5" formatCode="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alignment horizontal="right" vertical="bottom" textRotation="0" wrapText="0" indent="0" justifyLastLine="0" shrinkToFit="0" readingOrder="2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64" formatCode="&quot;$&quot;#,##0.00;[Red]&quot;$&quot;#,##0.00"/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B9EDFF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B9EDFF"/>
      <color rgb="FFFF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93C61E-5182-4571-996F-3C4DB6F2B5F2}" name="Budgets" displayName="Budgets" ref="F5:M22" totalsRowShown="0" headerRowDxfId="142" dataDxfId="141">
  <autoFilter ref="F5:M22" xr:uid="{6993C61E-5182-4571-996F-3C4DB6F2B5F2}"/>
  <tableColumns count="8">
    <tableColumn id="1" xr3:uid="{8943831D-1C8A-4F5D-95A8-EE7179B852B1}" name="Name" dataDxfId="140"/>
    <tableColumn id="2" xr3:uid="{8EBB0CEA-3CCB-48FA-8C94-F03740950DA2}" name="Type" dataDxfId="139"/>
    <tableColumn id="3" xr3:uid="{6BEBBCAF-0D99-480F-9DE9-8E043AF8AF3C}" name="Amount" dataDxfId="138"/>
    <tableColumn id="4" xr3:uid="{F1FD9DEF-4445-48CA-9469-93E5ADCCDCAB}" name="Rollover From Last Month" dataDxfId="137">
      <calculatedColumnFormula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calculatedColumnFormula>
    </tableColumn>
    <tableColumn id="6" xr3:uid="{06111B8D-9029-40EA-B393-7BAE5E067C2B}" name="Override Rollover Amount" dataDxfId="136"/>
    <tableColumn id="7" xr3:uid="{7DE8C972-5781-4A01-B47E-78C17C12E8FD}" name="Total Debits" dataDxfId="135">
      <calculatedColumnFormula>SUMIFS(INDIRECT("_" &amp; SUBSTITUTE($C$2,"-","_") &amp; "\Transactions[Amount]"), INDIRECT("_" &amp; SUBSTITUTE($C$2,"-","_") &amp; "\Transactions[Category]"),Budgets[[#This Row],[Name]], INDIRECT("_" &amp; SUBSTITUTE($C$2,"-","_") &amp; "\Transactions[Type]"),"Debit")</calculatedColumnFormula>
    </tableColumn>
    <tableColumn id="9" xr3:uid="{4F0C5657-A788-4225-9CF6-66B823B5FEAC}" name="Total Credits" dataDxfId="134">
      <calculatedColumnFormula>SUMIFS(INDIRECT("_" &amp; SUBSTITUTE($C$2,"-","_") &amp; "\Transactions[Amount]"), INDIRECT("_" &amp; SUBSTITUTE($C$2,"-","_") &amp; "\Transactions[Category]"),Budgets[[#This Row],[Name]], INDIRECT("_" &amp; SUBSTITUTE($C$2,"-","_") &amp; "\Transactions[Type]"),"Credit")</calculatedColumnFormula>
    </tableColumn>
    <tableColumn id="5" xr3:uid="{73D71772-A557-47D7-8718-7840CFBB3361}" name="Remaining Budget" dataDxfId="133">
      <calculatedColumnFormula>Budgets[[#This Row],[Amount]]+IF(NOT(Budgets[[#This Row],[Rollover From Last Month]]=""),Budgets[[#This Row],[Rollover From Last Month]],0)-Budgets[[#This Row],[Total Debits]]+Budgets[[#This Row],[Total Credits]]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46B62F-7A14-4839-B25C-76E755827075}" name="Transactions" displayName="Transactions" ref="B26:G127" totalsRowShown="0" headerRowDxfId="132" dataDxfId="131">
  <autoFilter ref="B26:G127" xr:uid="{EC46B62F-7A14-4839-B25C-76E755827075}"/>
  <tableColumns count="6">
    <tableColumn id="1" xr3:uid="{06D0FCB0-9F81-4C87-AE67-25A0AAAFC736}" name="Date" dataDxfId="130"/>
    <tableColumn id="2" xr3:uid="{7B3C4D0E-6BF2-4ACC-902F-3EC67A595EB9}" name="Location" dataDxfId="129"/>
    <tableColumn id="3" xr3:uid="{3071BBE3-D6F5-495A-8460-69164F3C6E5E}" name="Description" dataDxfId="128"/>
    <tableColumn id="4" xr3:uid="{12BC5B33-B050-41FE-9857-1FDD4D5CA5B8}" name="Category" dataDxfId="127"/>
    <tableColumn id="6" xr3:uid="{0A944B7C-E686-4EFC-9620-641508AB6BD6}" name="Type" dataDxfId="126"/>
    <tableColumn id="5" xr3:uid="{D28580DE-D537-4F3A-93E5-5A533130ABF7}" name="Amount" dataDxfId="12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74A6B0-EF6A-4DFE-B7B5-17DAD41163E3}" name="Balances" displayName="Balances" ref="I26:O40" totalsRowShown="0" headerRowDxfId="124" dataDxfId="123" tableBorderDxfId="122">
  <autoFilter ref="I26:O40" xr:uid="{9874A6B0-EF6A-4DFE-B7B5-17DAD41163E3}"/>
  <tableColumns count="7">
    <tableColumn id="1" xr3:uid="{0F34E78D-CA6E-4DAA-BB0F-01CD6E82F1E5}" name="Name" dataDxfId="121"/>
    <tableColumn id="2" xr3:uid="{E6DAD4BD-0CF1-47D2-98DD-C3350A04E12E}" name="Category" dataDxfId="120"/>
    <tableColumn id="3" xr3:uid="{79AAE9B0-0736-463D-AD5C-8CF2E6D1FB35}" name="First Monday" dataDxfId="119"/>
    <tableColumn id="4" xr3:uid="{179D70A1-AF28-4A04-93A2-84B7FD6759A9}" name="Second Monday" dataDxfId="118"/>
    <tableColumn id="5" xr3:uid="{693250E7-F87C-4272-BD87-EA860FC9FE39}" name="Third Monday" dataDxfId="117"/>
    <tableColumn id="6" xr3:uid="{BA101F32-3EBA-44D6-9045-20E101B08CFA}" name="Fourth Monday" dataDxfId="116"/>
    <tableColumn id="7" xr3:uid="{4EB50702-9A76-4A93-8985-0C42CAF6E4C5}" name="Fifth Monday" dataDxfId="11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BEC8C2F-5549-4B3F-927C-B3465789AE2F}" name="Income" displayName="Income" ref="I43:K52" totalsRowShown="0" headerRowDxfId="114" dataDxfId="113" tableBorderDxfId="112">
  <autoFilter ref="I43:K52" xr:uid="{CBEC8C2F-5549-4B3F-927C-B3465789AE2F}"/>
  <tableColumns count="3">
    <tableColumn id="1" xr3:uid="{30CAAF0F-9BF8-4DBC-8A62-1E290A68A673}" name="Date" dataDxfId="111"/>
    <tableColumn id="2" xr3:uid="{08B5E387-3FFD-4111-A4B2-FA5434138B61}" name="Source" dataDxfId="110"/>
    <tableColumn id="3" xr3:uid="{29100732-F178-42AE-889C-5B75B5E0B398}" name="Amount" dataDxfId="10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F57F239-0864-4FBE-B9E0-6BD19A16F691}" name="2023-05\Budgets" displayName="_2023_05\Budgets" ref="F5:M22" totalsRowShown="0" headerRowDxfId="105" dataDxfId="104">
  <autoFilter ref="F5:M22" xr:uid="{6993C61E-5182-4571-996F-3C4DB6F2B5F2}"/>
  <tableColumns count="8">
    <tableColumn id="1" xr3:uid="{D1B96BAC-0CDA-4BB3-A162-CB070C2940CC}" name="Name" dataDxfId="103"/>
    <tableColumn id="2" xr3:uid="{58625047-7E63-40BD-82E7-BE275EDBDA02}" name="Type" dataDxfId="102"/>
    <tableColumn id="3" xr3:uid="{797F371A-D2F9-4620-805A-B61F2B78F0B3}" name="Amount" dataDxfId="101"/>
    <tableColumn id="4" xr3:uid="{976FB6EF-284E-4615-BD2A-5970EA7B5D61}" name="Rollover From Last Month" dataDxfId="100">
      <calculatedColumnFormula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calculatedColumnFormula>
    </tableColumn>
    <tableColumn id="6" xr3:uid="{6D2C9583-CA10-4FB5-AED7-7D5C91310114}" name="Override Rollover Amount" dataDxfId="99"/>
    <tableColumn id="7" xr3:uid="{DA687157-A82B-48D6-9FAC-D02300CE0182}" name="Total Debits" dataDxfId="98">
      <calculatedColumnFormula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calculatedColumnFormula>
    </tableColumn>
    <tableColumn id="8" xr3:uid="{774B0D59-AEA4-4192-AB62-7925FAF0D448}" name="Total Credits" dataDxfId="97">
      <calculatedColumnFormula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calculatedColumnFormula>
    </tableColumn>
    <tableColumn id="5" xr3:uid="{024F6037-DD6B-4B5F-86CA-4E724F1C93E0}" name="Remaining Budget" dataDxfId="96">
      <calculatedColumnFormula>_2023_05\Budgets[[#This Row],[Amount]]+IF(NOT(_2023_05\Budgets[[#This Row],[Rollover From Last Month]]=""),_2023_05\Budgets[[#This Row],[Rollover From Last Month]],0)-_2023_05\Budgets[[#This Row],[Total Debits]]+_2023_05\Budgets[[#This Row],[Total Credits]]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C5279A9-2E5F-4414-B6F5-73373D611456}" name="2023-05\Transactions" displayName="_2023_05\Transactions" ref="B26:G127" totalsRowShown="0" headerRowDxfId="95" dataDxfId="94">
  <autoFilter ref="B26:G127" xr:uid="{EC46B62F-7A14-4839-B25C-76E755827075}"/>
  <tableColumns count="6">
    <tableColumn id="1" xr3:uid="{55463874-15FA-4D2D-BFAE-114E2B4F8161}" name="Date" dataDxfId="93"/>
    <tableColumn id="2" xr3:uid="{03E7714C-83D6-476C-870A-6D3D546E0CBA}" name="Location" dataDxfId="92"/>
    <tableColumn id="3" xr3:uid="{D98ADED1-5D6A-44AB-8476-24AF71075C0A}" name="Description" dataDxfId="91"/>
    <tableColumn id="4" xr3:uid="{BE94DADF-C42B-4A56-83C5-EFC80DD4C1D5}" name="Category" dataDxfId="90"/>
    <tableColumn id="6" xr3:uid="{2CD4E06C-A5AB-441D-BE06-FA3F8170B885}" name="Type" dataDxfId="89"/>
    <tableColumn id="5" xr3:uid="{4B0DDDFB-9384-4CD3-B311-A85A8A797E74}" name="Amount" dataDxfId="8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CC902B9-3B84-4289-81F2-56C7F25BC773}" name="2023-05\Balances" displayName="_2023_05\Balances" ref="I26:O40" totalsRowShown="0" headerRowDxfId="87" dataDxfId="86" tableBorderDxfId="85">
  <autoFilter ref="I26:O40" xr:uid="{9874A6B0-EF6A-4DFE-B7B5-17DAD41163E3}"/>
  <tableColumns count="7">
    <tableColumn id="1" xr3:uid="{AD4E1CA2-AD47-4A8D-AFD3-2E8984CDCA9A}" name="Name" dataDxfId="84"/>
    <tableColumn id="2" xr3:uid="{074D6F20-F8E9-46D4-849E-C57D85C0D31F}" name="Category" dataDxfId="83"/>
    <tableColumn id="3" xr3:uid="{71F9066D-EED3-4D73-96C6-91CDC7883306}" name="First Monday" dataDxfId="82"/>
    <tableColumn id="4" xr3:uid="{1B8022D6-35BE-4BC2-AA6C-C90152C8DCEE}" name="Second Monday" dataDxfId="81"/>
    <tableColumn id="5" xr3:uid="{A2443AD2-AB79-4FFC-9EF0-1CDD1882C940}" name="Third Monday" dataDxfId="80"/>
    <tableColumn id="6" xr3:uid="{5E3B4788-936A-4AC8-9B34-9764E10393A2}" name="Fourth Monday" dataDxfId="79"/>
    <tableColumn id="7" xr3:uid="{5BD11ED3-7782-4B73-A450-3362CD40105E}" name="Fifth Monday" dataDxfId="7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E5C0745-23A1-47BB-BEDD-5C4F0EB5AF6D}" name="2023-05\Income" displayName="_2023_05\Income" ref="I43:K52" totalsRowShown="0" headerRowDxfId="77" dataDxfId="76" tableBorderDxfId="75">
  <autoFilter ref="I43:K52" xr:uid="{CBEC8C2F-5549-4B3F-927C-B3465789AE2F}"/>
  <tableColumns count="3">
    <tableColumn id="1" xr3:uid="{BF87456E-AA5F-4FDC-8E7C-C6FBAEC42543}" name="Date" dataDxfId="74"/>
    <tableColumn id="2" xr3:uid="{C92A5D21-1BD7-4EB7-80C1-7A3DA1039966}" name="Source" dataDxfId="73"/>
    <tableColumn id="3" xr3:uid="{C31C4768-BACB-4FB1-8641-086A5BFC0F84}" name="Amount" dataDxfId="7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851D61-BC30-48C2-A1E3-73934B3C0356}" name="2023-04\Budgets" displayName="_2023_04\Budgets" ref="F5:M22" totalsRowShown="0" headerRowDxfId="69" dataDxfId="68">
  <autoFilter ref="F5:M22" xr:uid="{6993C61E-5182-4571-996F-3C4DB6F2B5F2}"/>
  <tableColumns count="8">
    <tableColumn id="1" xr3:uid="{4BD2E577-13F3-4FA5-91D8-62EA57C5A382}" name="Name" dataDxfId="67"/>
    <tableColumn id="2" xr3:uid="{B3574E52-53FE-4C8C-AF82-838A7E3934F9}" name="Type" dataDxfId="66"/>
    <tableColumn id="3" xr3:uid="{998D3EB4-5B13-4AB1-AB6E-525ED13F46B4}" name="Amount" dataDxfId="65"/>
    <tableColumn id="4" xr3:uid="{599BDAF1-CF90-4AF0-9070-963BC4943E11}" name="Rollover From Last Month" dataDxfId="64">
      <calculatedColumnFormula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calculatedColumnFormula>
    </tableColumn>
    <tableColumn id="6" xr3:uid="{D3851B2D-4CCD-4526-8882-352152531F7F}" name="Override Rollover Amount" dataDxfId="63"/>
    <tableColumn id="7" xr3:uid="{F70E1DAA-347D-4509-A1B6-8A7AF53539D3}" name="Total Debits" dataDxfId="62">
      <calculatedColumnFormula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calculatedColumnFormula>
    </tableColumn>
    <tableColumn id="8" xr3:uid="{97F5A23B-BAA8-4B56-A2EA-0C4CE28DE064}" name="Total Credits" dataDxfId="61">
      <calculatedColumnFormula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calculatedColumnFormula>
    </tableColumn>
    <tableColumn id="5" xr3:uid="{676141BD-3D39-4AC7-9482-F4CFA26DB4E8}" name="Remaining Budget" dataDxfId="60">
      <calculatedColumnFormula>_2023_04\Budgets[[#This Row],[Amount]]+IF(NOT(_2023_04\Budgets[[#This Row],[Rollover From Last Month]]=""),_2023_04\Budgets[[#This Row],[Rollover From Last Month]],0)-_2023_04\Budgets[[#This Row],[Total Debits]]+_2023_04\Budgets[[#This Row],[Total Credits]]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34D2697-516B-491F-BA64-F64A3956FF17}" name="2023-04\Transactions" displayName="_2023_04\Transactions" ref="B26:G127" totalsRowShown="0" headerRowDxfId="59" dataDxfId="58">
  <autoFilter ref="B26:G127" xr:uid="{EC46B62F-7A14-4839-B25C-76E755827075}"/>
  <tableColumns count="6">
    <tableColumn id="1" xr3:uid="{6C13214F-615A-40EF-B931-79A55E24D921}" name="Date" dataDxfId="57"/>
    <tableColumn id="2" xr3:uid="{C345F8A0-E3F4-484B-8279-4A4FE90718B5}" name="Location" dataDxfId="56"/>
    <tableColumn id="3" xr3:uid="{A35BB77C-B093-4BF4-ABB8-FE1AEF507593}" name="Description" dataDxfId="55"/>
    <tableColumn id="4" xr3:uid="{2F02311A-8A87-43E3-B95F-64603C33AE44}" name="Category" dataDxfId="54"/>
    <tableColumn id="6" xr3:uid="{FD3CD958-B679-4232-9C64-A06AB3F8A0CE}" name="Type" dataDxfId="53"/>
    <tableColumn id="5" xr3:uid="{48739F31-3FAC-45BD-B2E2-6C3D55B9F840}" name="Amount" dataDxfId="5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FF173D8-D84E-4D52-B329-96DD40EF92D9}" name="2023-04\Balances" displayName="_2023_04\Balances" ref="I26:O40" totalsRowShown="0" headerRowDxfId="51" dataDxfId="50" tableBorderDxfId="49">
  <autoFilter ref="I26:O40" xr:uid="{9874A6B0-EF6A-4DFE-B7B5-17DAD41163E3}"/>
  <tableColumns count="7">
    <tableColumn id="1" xr3:uid="{7C0DDD05-ACBB-4F34-BE77-BD964DEB7A69}" name="Name" dataDxfId="48"/>
    <tableColumn id="2" xr3:uid="{6EF6B829-20C5-4983-9F9D-477A8F9379A7}" name="Category" dataDxfId="47"/>
    <tableColumn id="3" xr3:uid="{97B06771-F421-4C49-A137-55329DF0DCF7}" name="First Monday" dataDxfId="46"/>
    <tableColumn id="4" xr3:uid="{37C72279-1542-4C71-A97B-27107054756F}" name="Second Monday" dataDxfId="45"/>
    <tableColumn id="5" xr3:uid="{BC051C9F-A0CD-408F-8E41-FE7C55F504E3}" name="Third Monday" dataDxfId="44"/>
    <tableColumn id="6" xr3:uid="{A79FDDDA-DFC6-4132-B78C-2F97D797D02F}" name="Fourth Monday" dataDxfId="43"/>
    <tableColumn id="7" xr3:uid="{DEB994C6-8FD5-43DE-9EB7-A1121219CBD1}" name="Fifth Monday" dataDxfId="42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E5EBE3B-C846-4632-860F-FD6CDC03F009}" name="2023-04\Income" displayName="_2023_04\Income" ref="I43:K52" totalsRowShown="0" headerRowDxfId="41" dataDxfId="40" tableBorderDxfId="39">
  <autoFilter ref="I43:K52" xr:uid="{CBEC8C2F-5549-4B3F-927C-B3465789AE2F}"/>
  <tableColumns count="3">
    <tableColumn id="1" xr3:uid="{4026FA30-E0E0-4B20-A8FF-E0C74948C600}" name="Date" dataDxfId="38"/>
    <tableColumn id="2" xr3:uid="{2BE58E31-6EAF-4984-B709-839E63502CCA}" name="Source" dataDxfId="37"/>
    <tableColumn id="3" xr3:uid="{4B4797BD-E438-4747-97D3-5D4D22251357}" name="Amount" dataDxfId="3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9F29A30-339E-4C89-94E6-F28E929DCABC}" name="2023-03\Budgets" displayName="_2023_03\Budgets" ref="F5:M22" totalsRowShown="0" headerRowDxfId="33" dataDxfId="32">
  <autoFilter ref="F5:M22" xr:uid="{6993C61E-5182-4571-996F-3C4DB6F2B5F2}"/>
  <tableColumns count="8">
    <tableColumn id="1" xr3:uid="{4FBBC8DE-8B9A-47F5-977D-EDB8D2DD895A}" name="Name" dataDxfId="31"/>
    <tableColumn id="2" xr3:uid="{B564BCD5-DE58-48E4-B347-544D552F66E6}" name="Type" dataDxfId="30"/>
    <tableColumn id="3" xr3:uid="{E45D6021-0DF3-4D61-8849-C550C4A081C7}" name="Amount" dataDxfId="29"/>
    <tableColumn id="4" xr3:uid="{B147F65E-A35D-4B98-96A0-1E4265C8986C}" name="Rollover From Last Month" dataDxfId="28">
      <calculatedColumnFormula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calculatedColumnFormula>
    </tableColumn>
    <tableColumn id="6" xr3:uid="{2626091E-8CCF-4FAA-A1E4-9254D512CA36}" name="Override Rollover Amount" dataDxfId="27"/>
    <tableColumn id="7" xr3:uid="{E2C87B5E-2922-4E50-8F42-12A5F2FF79CC}" name="Total Debits" dataDxfId="26">
      <calculatedColumnFormula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calculatedColumnFormula>
    </tableColumn>
    <tableColumn id="8" xr3:uid="{75F14E48-7C47-4D54-91F3-DC9450236D94}" name="Total Credits" dataDxfId="25">
      <calculatedColumnFormula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calculatedColumnFormula>
    </tableColumn>
    <tableColumn id="5" xr3:uid="{DEA1DE60-5A1E-4B8A-84D4-6415B1D2089E}" name="Remaining Budget" dataDxfId="24">
      <calculatedColumnFormula>_2023_03\Budgets[[#This Row],[Amount]]+IF(NOT(_2023_03\Budgets[[#This Row],[Rollover From Last Month]]=""),_2023_03\Budgets[[#This Row],[Rollover From Last Month]],0)-_2023_03\Budgets[[#This Row],[Total Debits]]+_2023_03\Budgets[[#This Row],[Total Credits]]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CF57EE-DA7A-499B-A990-5FF22F5C75B1}" name="2023-03\Transactions" displayName="_2023_03\Transactions" ref="B26:G127" totalsRowShown="0" headerRowDxfId="23" dataDxfId="22">
  <autoFilter ref="B26:G127" xr:uid="{EC46B62F-7A14-4839-B25C-76E755827075}"/>
  <tableColumns count="6">
    <tableColumn id="1" xr3:uid="{55C7B87E-3775-45E4-9DE9-8989B7DB7342}" name="Date" dataDxfId="21"/>
    <tableColumn id="2" xr3:uid="{DCF23C61-540F-4903-AF64-95E880AC3161}" name="Location" dataDxfId="20"/>
    <tableColumn id="3" xr3:uid="{EEA6BACB-8251-486C-A2B3-D442942889FF}" name="Description" dataDxfId="19"/>
    <tableColumn id="4" xr3:uid="{DFF9622C-AF99-4F4F-AFB4-54698BAF7E6B}" name="Category" dataDxfId="18"/>
    <tableColumn id="6" xr3:uid="{3367804D-81B9-43E8-BE56-AA2A29F410A1}" name="Type" dataDxfId="17"/>
    <tableColumn id="5" xr3:uid="{30599581-525D-44D2-BA74-B7FA4226D932}" name="Amount" dataDxfId="16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20740E7-DA86-4C87-80B0-92626E523A8E}" name="2023-03\Balances" displayName="_2023_03\Balances" ref="I26:O40" totalsRowShown="0" headerRowDxfId="15" dataDxfId="14" tableBorderDxfId="13">
  <autoFilter ref="I26:O40" xr:uid="{9874A6B0-EF6A-4DFE-B7B5-17DAD41163E3}"/>
  <tableColumns count="7">
    <tableColumn id="1" xr3:uid="{EA9F087E-3F47-4BC6-B3A7-4B79A8D6BEE9}" name="Name" dataDxfId="12"/>
    <tableColumn id="2" xr3:uid="{CFC5E1B2-055C-416A-8FA8-CE6F2DA03769}" name="Category" dataDxfId="11"/>
    <tableColumn id="3" xr3:uid="{737D22E0-E2E6-45EA-B350-80EE4D7CBC04}" name="First Monday" dataDxfId="10"/>
    <tableColumn id="4" xr3:uid="{4DC1F7D8-ED6F-4400-B6BD-0BF0C9C209A6}" name="Second Monday" dataDxfId="9"/>
    <tableColumn id="5" xr3:uid="{F895A308-3A07-4997-BC8D-74160CE8F603}" name="Third Monday" dataDxfId="8"/>
    <tableColumn id="6" xr3:uid="{D687C234-8D77-484C-AD08-47E04BF33F66}" name="Fourth Monday" dataDxfId="7"/>
    <tableColumn id="7" xr3:uid="{2911D8FD-9013-4401-A7DF-232D1CEE8C68}" name="Fifth Monday" dataDxfId="6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D3CEAC3-7CC1-4011-9DAE-576CEF2A062F}" name="2023-03\Income" displayName="_2023_03\Income" ref="I43:K52" totalsRowShown="0" headerRowDxfId="5" dataDxfId="4" tableBorderDxfId="3">
  <autoFilter ref="I43:K52" xr:uid="{CBEC8C2F-5549-4B3F-927C-B3465789AE2F}"/>
  <tableColumns count="3">
    <tableColumn id="1" xr3:uid="{9D5ECC7F-2DFC-43D4-852B-E5F7AE5A4B2B}" name="Date" dataDxfId="2"/>
    <tableColumn id="2" xr3:uid="{676CF049-9CF6-4E33-BB1F-A133821ABDBC}" name="Source" dataDxfId="1"/>
    <tableColumn id="3" xr3:uid="{DC6CACF8-07C1-413E-9EB6-4FD73172A990}" name="Amoun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07B6B-F54A-4F18-8C3A-6C11576F0F64}">
  <sheetPr codeName="Sheet2"/>
  <dimension ref="B2:O127"/>
  <sheetViews>
    <sheetView topLeftCell="A21" workbookViewId="0">
      <selection activeCell="L33" sqref="L33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18.2851562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Template</v>
      </c>
      <c r="D2" s="1" t="s">
        <v>22</v>
      </c>
      <c r="E2" t="e">
        <f ca="1">_xlfn.CONCAT(IF(RIGHT(C2,2)="01", VALUE(LEFT(C2,4))-1, LEFT(C2,4)), "-", IF(RIGHT(C2,2)="01","12",TEXT(VALUE(RIGHT(C2,2))-1,"00")))</f>
        <v>#VALUE!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>
        <v>300</v>
      </c>
      <c r="I6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6" s="8"/>
      <c r="K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6" s="19" t="e">
        <f ca="1">Budgets[[#This Row],[Amount]]+IF(NOT(Budgets[[#This Row],[Rollover From Last Month]]=""),Budgets[[#This Row],[Rollover From Last Month]],0)-Budgets[[#This Row],[Total Debits]]+Budgets[[#This Row],[Total Credits]]</f>
        <v>#VALUE!</v>
      </c>
    </row>
    <row r="7" spans="2:13" x14ac:dyDescent="0.25">
      <c r="B7" s="1" t="s">
        <v>7</v>
      </c>
      <c r="C7" s="6"/>
      <c r="F7" s="7"/>
      <c r="G7" s="7" t="s">
        <v>13</v>
      </c>
      <c r="H7" s="8">
        <v>300</v>
      </c>
      <c r="I7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7" s="8"/>
      <c r="K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7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>
        <v>200</v>
      </c>
      <c r="I8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8" s="8"/>
      <c r="K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8" s="19" t="e">
        <f ca="1">Budgets[[#This Row],[Amount]]+IF(NOT(Budgets[[#This Row],[Rollover From Last Month]]=""),Budgets[[#This Row],[Rollover From Last Month]],0)-Budgets[[#This Row],[Total Debits]]+Budgets[[#This Row],[Total Credits]]</f>
        <v>#VALUE!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>
        <v>160</v>
      </c>
      <c r="I9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9" s="8"/>
      <c r="K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9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10" spans="2:13" x14ac:dyDescent="0.25">
      <c r="F10" s="7"/>
      <c r="G10" s="7" t="s">
        <v>13</v>
      </c>
      <c r="H10" s="8">
        <v>175</v>
      </c>
      <c r="I10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0" s="8"/>
      <c r="K1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0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11" spans="2:13" x14ac:dyDescent="0.25">
      <c r="B11" s="1" t="s">
        <v>33</v>
      </c>
      <c r="C11" s="4" t="e" cm="1">
        <f t="array" aca="1" ref="C11" ca="1">SUM(ABS(INDIRECT("_" &amp; SUBSTITUTE($C$2,"-","_") &amp; "\Budgets[Amount]")))</f>
        <v>#REF!</v>
      </c>
      <c r="F11" s="7"/>
      <c r="G11" s="7" t="s">
        <v>13</v>
      </c>
      <c r="H11" s="8">
        <v>200</v>
      </c>
      <c r="I11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1" s="8"/>
      <c r="K11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1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1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12" spans="2:13" x14ac:dyDescent="0.25">
      <c r="B12" s="1" t="s">
        <v>37</v>
      </c>
      <c r="C12" s="4" t="e">
        <f ca="1">SUMIF(INDIRECT("_" &amp; SUBSTITUTE($C$2,"-","_") &amp; "\Budgets[Type]"), "&lt;&gt;Saving", INDIRECT("_" &amp; SUBSTITUTE($C$2,"-","_") &amp; "\Budgets[Amount]"))</f>
        <v>#REF!</v>
      </c>
      <c r="F12" s="7"/>
      <c r="G12" s="7" t="s">
        <v>13</v>
      </c>
      <c r="H12" s="8">
        <v>600</v>
      </c>
      <c r="I12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2" s="8"/>
      <c r="K1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2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13" spans="2:13" x14ac:dyDescent="0.25">
      <c r="B13" s="1" t="s">
        <v>23</v>
      </c>
      <c r="C13" s="4" t="e">
        <f ca="1">ABS(SUMIF(INDIRECT("_" &amp; SUBSTITUTE($C$2,"-","_") &amp; "\Budgets[Type]"), "Saving", INDIRECT("_" &amp; SUBSTITUTE($C$2,"-","_") &amp; "\Budgets[Amount]")))</f>
        <v>#REF!</v>
      </c>
      <c r="F13" s="7"/>
      <c r="G13" s="7" t="s">
        <v>12</v>
      </c>
      <c r="H13" s="8">
        <v>250</v>
      </c>
      <c r="I13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3" s="8"/>
      <c r="K13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3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3" s="19" t="e">
        <f ca="1">Budgets[[#This Row],[Amount]]+IF(NOT(Budgets[[#This Row],[Rollover From Last Month]]=""),Budgets[[#This Row],[Rollover From Last Month]],0)-Budgets[[#This Row],[Total Debits]]+Budgets[[#This Row],[Total Credits]]</f>
        <v>#VALUE!</v>
      </c>
    </row>
    <row r="14" spans="2:13" x14ac:dyDescent="0.25">
      <c r="B14" s="1" t="s">
        <v>15</v>
      </c>
      <c r="C14" s="4" t="e">
        <f ca="1">C9-C11</f>
        <v>#REF!</v>
      </c>
      <c r="F14" s="7"/>
      <c r="G14" s="7" t="s">
        <v>13</v>
      </c>
      <c r="H14" s="8">
        <v>1780</v>
      </c>
      <c r="I14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4" s="8"/>
      <c r="K14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4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4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15" spans="2:13" x14ac:dyDescent="0.25">
      <c r="C15" s="4"/>
      <c r="F15" s="7"/>
      <c r="G15" s="7" t="s">
        <v>12</v>
      </c>
      <c r="H15" s="8">
        <v>150</v>
      </c>
      <c r="I15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5" s="8"/>
      <c r="K15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5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5" s="19" t="e">
        <f ca="1">Budgets[[#This Row],[Amount]]+IF(NOT(Budgets[[#This Row],[Rollover From Last Month]]=""),Budgets[[#This Row],[Rollover From Last Month]],0)-Budgets[[#This Row],[Total Debits]]+Budgets[[#This Row],[Total Credits]]</f>
        <v>#VALUE!</v>
      </c>
    </row>
    <row r="16" spans="2:13" x14ac:dyDescent="0.25">
      <c r="B16" s="1" t="s">
        <v>32</v>
      </c>
      <c r="C16" s="4" t="e">
        <f ca="1">SUM(INDIRECT("_" &amp; SUBSTITUTE($C$2,"-","_") &amp; "\Income[Amount]"))</f>
        <v>#REF!</v>
      </c>
      <c r="F16" s="7"/>
      <c r="G16" s="7" t="s">
        <v>13</v>
      </c>
      <c r="H16" s="8">
        <v>50</v>
      </c>
      <c r="I16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16" s="8"/>
      <c r="K1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6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6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17" spans="2:15" x14ac:dyDescent="0.25">
      <c r="B17" s="1" t="s">
        <v>34</v>
      </c>
      <c r="C17" s="4" t="e">
        <f ca="1">C16-C11</f>
        <v>#REF!</v>
      </c>
      <c r="F17" s="7"/>
      <c r="G17" s="7" t="s">
        <v>12</v>
      </c>
      <c r="H17" s="8">
        <v>300</v>
      </c>
      <c r="I17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7" s="8"/>
      <c r="K1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7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7" s="19" t="e">
        <f ca="1">Budgets[[#This Row],[Amount]]+IF(NOT(Budgets[[#This Row],[Rollover From Last Month]]=""),Budgets[[#This Row],[Rollover From Last Month]],0)-Budgets[[#This Row],[Total Debits]]+Budgets[[#This Row],[Total Credits]]</f>
        <v>#VALUE!</v>
      </c>
    </row>
    <row r="18" spans="2:15" x14ac:dyDescent="0.25">
      <c r="C18" s="4"/>
      <c r="F18" s="7"/>
      <c r="G18" s="7" t="s">
        <v>12</v>
      </c>
      <c r="H18" s="8">
        <v>300</v>
      </c>
      <c r="I18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8" s="8"/>
      <c r="K1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8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8" s="19" t="e">
        <f ca="1">Budgets[[#This Row],[Amount]]+IF(NOT(Budgets[[#This Row],[Rollover From Last Month]]=""),Budgets[[#This Row],[Rollover From Last Month]],0)-Budgets[[#This Row],[Total Debits]]+Budgets[[#This Row],[Total Credits]]</f>
        <v>#VALUE!</v>
      </c>
    </row>
    <row r="19" spans="2:15" x14ac:dyDescent="0.25">
      <c r="B19" s="1" t="s">
        <v>38</v>
      </c>
      <c r="C19" s="4" t="e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#REF!</v>
      </c>
      <c r="F19" s="7"/>
      <c r="G19" s="7" t="s">
        <v>12</v>
      </c>
      <c r="H19" s="8">
        <v>100</v>
      </c>
      <c r="I19" s="9" t="e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>#VALUE!</v>
      </c>
      <c r="J19" s="8"/>
      <c r="K1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19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19" s="19" t="e">
        <f ca="1">Budgets[[#This Row],[Amount]]+IF(NOT(Budgets[[#This Row],[Rollover From Last Month]]=""),Budgets[[#This Row],[Rollover From Last Month]],0)-Budgets[[#This Row],[Total Debits]]+Budgets[[#This Row],[Total Credits]]</f>
        <v>#VALUE!</v>
      </c>
    </row>
    <row r="20" spans="2:15" x14ac:dyDescent="0.25">
      <c r="B20" s="1" t="s">
        <v>39</v>
      </c>
      <c r="C20" s="4" t="e">
        <f ca="1">C12-C19</f>
        <v>#REF!</v>
      </c>
      <c r="F20" s="7"/>
      <c r="G20" s="7" t="s">
        <v>24</v>
      </c>
      <c r="H20" s="8">
        <v>0</v>
      </c>
      <c r="I20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0" s="8"/>
      <c r="K2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20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20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21" spans="2:15" x14ac:dyDescent="0.25">
      <c r="B21" s="1" t="s">
        <v>40</v>
      </c>
      <c r="C21" s="4" t="e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#REF!</v>
      </c>
      <c r="F21" s="11"/>
      <c r="G21" s="11" t="s">
        <v>13</v>
      </c>
      <c r="H21" s="13">
        <v>735</v>
      </c>
      <c r="I21" s="14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1" s="13"/>
      <c r="K21" s="18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21" s="18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21" s="20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22" spans="2:15" x14ac:dyDescent="0.25">
      <c r="B22" s="1" t="s">
        <v>41</v>
      </c>
      <c r="C22" s="4" t="e">
        <f ca="1">C21-C13</f>
        <v>#REF!</v>
      </c>
      <c r="F22" s="7"/>
      <c r="G22" s="7" t="s">
        <v>13</v>
      </c>
      <c r="H22" s="8">
        <v>200</v>
      </c>
      <c r="I22" s="9" t="str">
        <f ca="1">IF(Budgets[[#This Row],[Type]]&lt;&gt;"Rolling", "", IF(NOT(ISBLANK(Budgets[[#This Row],[Override Rollover Amount]])), Budgets[[#This Row],[Override Rollover Amount]], SUMIF(INDIRECT("_" &amp; SUBSTITUTE($E$2,"-","_") &amp; "\Budgets[Name]"),Budgets[[#This Row],[Name]],INDIRECT("_" &amp; SUBSTITUTE($E$2,"-","_") &amp; "\Budgets[Remaining Budget]"))))</f>
        <v/>
      </c>
      <c r="J22" s="8"/>
      <c r="K2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"\Transactions[Type]"),"Debit")</f>
        <v>#REF!</v>
      </c>
      <c r="L22" s="16" t="e">
        <f ca="1">SUMIFS(INDIRECT("_" &amp; SUBSTITUTE($C$2,"-","_") &amp; "\Transactions[Amount]"), INDIRECT("_" &amp; SUBSTITUTE($C$2,"-","_") &amp; "\Transactions[Category]"),Budgets[[#This Row],[Name]], INDIRECT("_" &amp; SUBSTITUTE($C$2,"-","_") &amp; "\Transactions[Type]"),"Credit")</f>
        <v>#REF!</v>
      </c>
      <c r="M22" s="19" t="e">
        <f ca="1">Budgets[[#This Row],[Amount]]+IF(NOT(Budgets[[#This Row],[Rollover From Last Month]]=""),Budgets[[#This Row],[Rollover From Last Month]],0)-Budgets[[#This Row],[Total Debits]]+Budgets[[#This Row],[Total Credits]]</f>
        <v>#REF!</v>
      </c>
    </row>
    <row r="23" spans="2:15" x14ac:dyDescent="0.25">
      <c r="B23" s="1"/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sheet="1" autoFilter="0"/>
  <conditionalFormatting sqref="G27:G127">
    <cfRule type="expression" dxfId="144" priority="1">
      <formula>AND(INDIRECT("_" &amp; SUBSTITUTE($C$2,"-","_") &amp; "\Transactions[@Category]") &lt;&gt; "Savings", INDIRECT("_" &amp; SUBSTITUTE($C$2,"-","_") &amp; "\Transactions[@Type]") = "Credit")</formula>
    </cfRule>
    <cfRule type="expression" dxfId="143" priority="2">
      <formula>AND(INDIRECT("_" &amp; SUBSTITUTE($C$2,"-","_") &amp; "\Transactions[@Category]") = "Savings", INDIRECT("_" &amp; SUBSTITUTE($C$2,"-","_") &amp; "\Transactions[@Type]") = "Debit")</formula>
    </cfRule>
  </conditionalFormatting>
  <dataValidations count="5">
    <dataValidation type="list" showInputMessage="1" showErrorMessage="1" sqref="G6:G19" xr:uid="{A5A8AC4E-6E64-4EC6-9292-46C49FE1C24C}">
      <formula1>"Rolling,Fixed"</formula1>
    </dataValidation>
    <dataValidation type="list" showInputMessage="1" showErrorMessage="1" sqref="G20" xr:uid="{D0980A88-C1DA-4657-85DC-603FB5C0AC53}">
      <formula1>"Rolling,Fixed,Saving"</formula1>
    </dataValidation>
    <dataValidation type="list" allowBlank="1" showInputMessage="1" showErrorMessage="1" sqref="E27:E127" xr:uid="{83C6A7DC-733D-462A-A213-5BD1644CFC7B}">
      <formula1>INDIRECT("_" &amp; SUBSTITUTE($C$2,"-","_") &amp; "\Budgets[Name]")</formula1>
    </dataValidation>
    <dataValidation type="list" allowBlank="1" showInputMessage="1" showErrorMessage="1" sqref="J27:J40" xr:uid="{7B010E57-67ED-4069-A52A-0FFF2A549FD2}">
      <formula1>"Spending,Reserve,Savings,Loan,Safety Net,Retirement"</formula1>
    </dataValidation>
    <dataValidation type="list" allowBlank="1" showInputMessage="1" showErrorMessage="1" sqref="F27:F127" xr:uid="{4755C800-D315-431C-9B70-FC51EFB67C08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DE87-74F0-408E-8A82-475710BC9E9E}">
  <sheetPr codeName="Sheet10"/>
  <dimension ref="B2:O127"/>
  <sheetViews>
    <sheetView topLeftCell="A35" zoomScaleNormal="100" workbookViewId="0">
      <selection activeCell="C11" sqref="C11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18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21.2851562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2023-05</v>
      </c>
      <c r="D2" s="1" t="s">
        <v>22</v>
      </c>
      <c r="E2" t="str">
        <f ca="1">_xlfn.CONCAT(IF(RIGHT(C2,2)="01", VALUE(LEFT(C2,4))-1, LEFT(C2,4)), "-", IF(RIGHT(C2,2)="01","12",TEXT(VALUE(RIGHT(C2,2))-1,"00")))</f>
        <v>2023-04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/>
      <c r="I6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6" s="15"/>
      <c r="K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6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7" spans="2:13" x14ac:dyDescent="0.25">
      <c r="B7" s="1" t="s">
        <v>7</v>
      </c>
      <c r="C7" s="6"/>
      <c r="F7" s="7"/>
      <c r="G7" s="7" t="s">
        <v>13</v>
      </c>
      <c r="H7" s="8"/>
      <c r="I7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7" s="15"/>
      <c r="K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7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/>
      <c r="I8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8" s="15"/>
      <c r="K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8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/>
      <c r="I9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9" s="15"/>
      <c r="K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9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0" spans="2:13" x14ac:dyDescent="0.25">
      <c r="F10" s="7"/>
      <c r="G10" s="7" t="s">
        <v>13</v>
      </c>
      <c r="H10" s="8"/>
      <c r="I10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0" s="15"/>
      <c r="K1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0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1" spans="2:13" x14ac:dyDescent="0.25">
      <c r="B11" s="1" t="s">
        <v>33</v>
      </c>
      <c r="C11" s="4" cm="1">
        <f t="array" aca="1" ref="C11" ca="1">SUM(ABS(INDIRECT("_" &amp; SUBSTITUTE($C$2,"-","_") &amp; "\Budgets[Amount]")))</f>
        <v>0</v>
      </c>
      <c r="F11" s="7"/>
      <c r="G11" s="7" t="s">
        <v>13</v>
      </c>
      <c r="H11" s="8"/>
      <c r="I11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1" s="15"/>
      <c r="K11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1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1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2" spans="2:13" x14ac:dyDescent="0.25">
      <c r="B12" s="1" t="s">
        <v>37</v>
      </c>
      <c r="C12" s="4">
        <f ca="1">SUMIF(INDIRECT("_" &amp; SUBSTITUTE($C$2,"-","_") &amp; "\Budgets[Type]"), "&lt;&gt;Saving", INDIRECT("_" &amp; SUBSTITUTE($C$2,"-","_") &amp; "\Budgets[Amount]"))</f>
        <v>0</v>
      </c>
      <c r="F12" s="7"/>
      <c r="G12" s="7" t="s">
        <v>13</v>
      </c>
      <c r="H12" s="8"/>
      <c r="I12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2" s="15"/>
      <c r="K1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2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3" spans="2:13" x14ac:dyDescent="0.25">
      <c r="B13" s="1" t="s">
        <v>23</v>
      </c>
      <c r="C13" s="4">
        <f ca="1">ABS(SUMIF(INDIRECT("_" &amp; SUBSTITUTE($C$2,"-","_") &amp; "\Budgets[Type]"), "Saving", INDIRECT("_" &amp; SUBSTITUTE($C$2,"-","_") &amp; "\Budgets[Amount]")))</f>
        <v>0</v>
      </c>
      <c r="F13" s="7"/>
      <c r="G13" s="7" t="s">
        <v>12</v>
      </c>
      <c r="H13" s="8"/>
      <c r="I13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3" s="15"/>
      <c r="K13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3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3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4" spans="2:13" x14ac:dyDescent="0.25">
      <c r="B14" s="1" t="s">
        <v>15</v>
      </c>
      <c r="C14" s="4">
        <f ca="1">C9-C11</f>
        <v>0</v>
      </c>
      <c r="F14" s="7"/>
      <c r="G14" s="7" t="s">
        <v>13</v>
      </c>
      <c r="H14" s="8"/>
      <c r="I14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4" s="15"/>
      <c r="K14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4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4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5" spans="2:13" x14ac:dyDescent="0.25">
      <c r="C15" s="4"/>
      <c r="F15" s="7"/>
      <c r="G15" s="7" t="s">
        <v>12</v>
      </c>
      <c r="H15" s="8"/>
      <c r="I15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5" s="15"/>
      <c r="K15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5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5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6" spans="2:13" x14ac:dyDescent="0.25">
      <c r="B16" s="1" t="s">
        <v>32</v>
      </c>
      <c r="C16" s="4">
        <f ca="1">SUM(INDIRECT("_" &amp; SUBSTITUTE($C$2,"-","_") &amp; "\Income[Amount]"))</f>
        <v>0</v>
      </c>
      <c r="F16" s="7"/>
      <c r="G16" s="7" t="s">
        <v>13</v>
      </c>
      <c r="H16" s="8"/>
      <c r="I16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16" s="15"/>
      <c r="K1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6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6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7" spans="2:15" x14ac:dyDescent="0.25">
      <c r="B17" s="1" t="s">
        <v>34</v>
      </c>
      <c r="C17" s="4">
        <f ca="1">C16-C11</f>
        <v>0</v>
      </c>
      <c r="F17" s="7"/>
      <c r="G17" s="7" t="s">
        <v>12</v>
      </c>
      <c r="H17" s="8"/>
      <c r="I17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7" s="15"/>
      <c r="K1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7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7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8" spans="2:15" x14ac:dyDescent="0.25">
      <c r="C18" s="4"/>
      <c r="F18" s="7"/>
      <c r="G18" s="7" t="s">
        <v>12</v>
      </c>
      <c r="H18" s="8"/>
      <c r="I18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8" s="15"/>
      <c r="K1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8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8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19" spans="2:15" x14ac:dyDescent="0.25">
      <c r="B19" s="1" t="s">
        <v>38</v>
      </c>
      <c r="C19" s="4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0</v>
      </c>
      <c r="F19" s="7"/>
      <c r="G19" s="7" t="s">
        <v>12</v>
      </c>
      <c r="H19" s="8"/>
      <c r="I19" s="9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>0</v>
      </c>
      <c r="J19" s="15"/>
      <c r="K1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19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19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0" spans="2:15" x14ac:dyDescent="0.25">
      <c r="B20" s="1" t="s">
        <v>39</v>
      </c>
      <c r="C20" s="4">
        <f ca="1">C12-C19</f>
        <v>0</v>
      </c>
      <c r="F20" s="7"/>
      <c r="G20" s="7" t="s">
        <v>24</v>
      </c>
      <c r="H20" s="8"/>
      <c r="I20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20" s="15"/>
      <c r="K2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20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20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1" spans="2:15" x14ac:dyDescent="0.25">
      <c r="B21" s="1" t="s">
        <v>40</v>
      </c>
      <c r="C21" s="4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0</v>
      </c>
      <c r="F21" s="11"/>
      <c r="G21" s="11" t="s">
        <v>13</v>
      </c>
      <c r="H21" s="13"/>
      <c r="I21" s="14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21" s="17"/>
      <c r="K21" s="18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21" s="18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21" s="20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2" spans="2:15" x14ac:dyDescent="0.25">
      <c r="B22" s="1" t="s">
        <v>41</v>
      </c>
      <c r="C22" s="4">
        <f ca="1">C21-C13</f>
        <v>0</v>
      </c>
      <c r="F22" s="7"/>
      <c r="G22" s="7" t="s">
        <v>13</v>
      </c>
      <c r="H22" s="8"/>
      <c r="I22" s="9" t="str">
        <f ca="1">IF(_2023_05\Budgets[[#This Row],[Type]]&lt;&gt;"Rolling", "", IF(NOT(ISBLANK(_2023_05\Budgets[[#This Row],[Override Rollover Amount]])), _2023_05\Budgets[[#This Row],[Override Rollover Amount]], SUMIF(INDIRECT("_" &amp; SUBSTITUTE($E$2,"-","_") &amp; "\Budgets[Name]"),_2023_05\Budgets[[#This Row],[Name]],INDIRECT("_" &amp; SUBSTITUTE($E$2,"-","_") &amp; "\Budgets[Remaining Budget]"))))</f>
        <v/>
      </c>
      <c r="J22" s="15"/>
      <c r="K2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"\Transactions[Type]"),"Debit")</f>
        <v>0</v>
      </c>
      <c r="L22" s="16">
        <f ca="1">SUMIFS(INDIRECT("_" &amp; SUBSTITUTE($C$2,"-","_") &amp; "\Transactions[Amount]"), INDIRECT("_" &amp; SUBSTITUTE($C$2,"-","_") &amp; "\Transactions[Category]"),_2023_05\Budgets[[#This Row],[Name]], INDIRECT("_" &amp; SUBSTITUTE($C$2,"-","_") &amp; "\Transactions[Type]"),"Credit")</f>
        <v>0</v>
      </c>
      <c r="M22" s="19">
        <f ca="1">_2023_05\Budgets[[#This Row],[Amount]]+IF(NOT(_2023_05\Budgets[[#This Row],[Rollover From Last Month]]=""),_2023_05\Budgets[[#This Row],[Rollover From Last Month]],0)-_2023_05\Budgets[[#This Row],[Total Debits]]+_2023_05\Budgets[[#This Row],[Total Credits]]</f>
        <v>0</v>
      </c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sheet="1" objects="1" scenarios="1" autoFilter="0"/>
  <conditionalFormatting sqref="D14">
    <cfRule type="expression" dxfId="108" priority="10">
      <formula>AND(INDIRECT("_" &amp; SUBSTITUTE($C$2,"-","_") &amp; "\Transactions[@Category]") = "Savings", INDIRECT("_" &amp; SUBSTITUTE($C$2,"-","_") &amp; "\Transactions[@Amount]") &lt; 0)</formula>
    </cfRule>
  </conditionalFormatting>
  <conditionalFormatting sqref="G27:G127">
    <cfRule type="expression" dxfId="107" priority="2">
      <formula>AND(INDIRECT("_" &amp; SUBSTITUTE($C$2,"-","_") &amp; "\Transactions[@Category]") &lt;&gt; "Savings", INDIRECT("_" &amp; SUBSTITUTE($C$2,"-","_") &amp; "\Transactions[@Type]") = "Credit")</formula>
    </cfRule>
    <cfRule type="expression" dxfId="106" priority="3">
      <formula>AND(INDIRECT("_" &amp; SUBSTITUTE($C$2,"-","_") &amp; "\Transactions[@Category]") = "Savings", INDIRECT("_" &amp; SUBSTITUTE($C$2,"-","_") &amp; "\Transactions[@Type]") = "Debit")</formula>
    </cfRule>
  </conditionalFormatting>
  <dataValidations disablePrompts="1" count="5">
    <dataValidation type="list" allowBlank="1" showInputMessage="1" showErrorMessage="1" sqref="J27:J40" xr:uid="{216D3DBF-A68D-4B85-B073-3DD9AEC5F106}">
      <formula1>"Spending,Reserve,Savings,Loan,Safety Net,Retirement"</formula1>
    </dataValidation>
    <dataValidation type="list" allowBlank="1" showInputMessage="1" showErrorMessage="1" sqref="E27:E127" xr:uid="{9BC2A822-C6F2-4F9C-9C89-0FCB513BB096}">
      <formula1>INDIRECT("_" &amp; SUBSTITUTE($C$2,"-","_") &amp; "\Budgets[Name]")</formula1>
    </dataValidation>
    <dataValidation type="list" showInputMessage="1" showErrorMessage="1" sqref="G20" xr:uid="{C0DA7FEB-15A2-46F2-985A-8000317DA40F}">
      <formula1>"Rolling,Fixed,Saving"</formula1>
    </dataValidation>
    <dataValidation type="list" showInputMessage="1" showErrorMessage="1" sqref="G6:G19" xr:uid="{E84D65BC-D937-442E-AF7B-8789CD7C11E3}">
      <formula1>"Rolling,Fixed"</formula1>
    </dataValidation>
    <dataValidation type="list" allowBlank="1" showInputMessage="1" showErrorMessage="1" sqref="F27:F127" xr:uid="{945655D2-E418-4216-BAA1-8FD4F4FBE777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D6AB8-041D-4A7A-901E-81261DF5FE07}">
  <sheetPr codeName="Sheet9"/>
  <dimension ref="B2:O127"/>
  <sheetViews>
    <sheetView topLeftCell="A33" workbookViewId="0">
      <selection activeCell="H6" sqref="H6:H22"/>
    </sheetView>
  </sheetViews>
  <sheetFormatPr defaultRowHeight="15" x14ac:dyDescent="0.25"/>
  <cols>
    <col min="1" max="1" width="9.7109375" customWidth="1"/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23.8554687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2023-04</v>
      </c>
      <c r="D2" s="1" t="s">
        <v>22</v>
      </c>
      <c r="E2" t="str">
        <f ca="1">_xlfn.CONCAT(IF(RIGHT(C2,2)="01", VALUE(LEFT(C2,4))-1, LEFT(C2,4)), "-", IF(RIGHT(C2,2)="01","12",TEXT(VALUE(RIGHT(C2,2))-1,"00")))</f>
        <v>2023-03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/>
      <c r="I6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6" s="8"/>
      <c r="K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6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7" spans="2:13" x14ac:dyDescent="0.25">
      <c r="B7" s="1" t="s">
        <v>7</v>
      </c>
      <c r="C7" s="6"/>
      <c r="F7" s="7"/>
      <c r="G7" s="7" t="s">
        <v>13</v>
      </c>
      <c r="H7" s="8"/>
      <c r="I7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7" s="8"/>
      <c r="K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7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/>
      <c r="I8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8" s="8"/>
      <c r="K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8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/>
      <c r="I9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9" s="8"/>
      <c r="K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9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0" spans="2:13" x14ac:dyDescent="0.25">
      <c r="F10" s="7"/>
      <c r="G10" s="7" t="s">
        <v>13</v>
      </c>
      <c r="H10" s="8"/>
      <c r="I10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0" s="8"/>
      <c r="K1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0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1" spans="2:13" x14ac:dyDescent="0.25">
      <c r="B11" s="1" t="s">
        <v>33</v>
      </c>
      <c r="C11" s="4" cm="1">
        <f t="array" aca="1" ref="C11" ca="1">SUM(ABS(INDIRECT("_" &amp; SUBSTITUTE($C$2,"-","_") &amp; "\Budgets[Amount]")))</f>
        <v>0</v>
      </c>
      <c r="F11" s="7"/>
      <c r="G11" s="7" t="s">
        <v>13</v>
      </c>
      <c r="H11" s="8"/>
      <c r="I11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1" s="8"/>
      <c r="K11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1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1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2" spans="2:13" x14ac:dyDescent="0.25">
      <c r="B12" s="1" t="s">
        <v>37</v>
      </c>
      <c r="C12" s="4">
        <f ca="1">SUMIF(INDIRECT("_" &amp; SUBSTITUTE($C$2,"-","_") &amp; "\Budgets[Type]"), "&lt;&gt;Saving", INDIRECT("_" &amp; SUBSTITUTE($C$2,"-","_") &amp; "\Budgets[Amount]"))</f>
        <v>0</v>
      </c>
      <c r="F12" s="7"/>
      <c r="G12" s="7" t="s">
        <v>13</v>
      </c>
      <c r="H12" s="8"/>
      <c r="I12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2" s="8"/>
      <c r="K1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2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3" spans="2:13" x14ac:dyDescent="0.25">
      <c r="B13" s="1" t="s">
        <v>23</v>
      </c>
      <c r="C13" s="4">
        <f ca="1">ABS(SUMIF(INDIRECT("_" &amp; SUBSTITUTE($C$2,"-","_") &amp; "\Budgets[Type]"), "Saving", INDIRECT("_" &amp; SUBSTITUTE($C$2,"-","_") &amp; "\Budgets[Amount]")))</f>
        <v>0</v>
      </c>
      <c r="F13" s="7"/>
      <c r="G13" s="7" t="s">
        <v>12</v>
      </c>
      <c r="H13" s="8"/>
      <c r="I13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3" s="8"/>
      <c r="K13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3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3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4" spans="2:13" x14ac:dyDescent="0.25">
      <c r="B14" s="1" t="s">
        <v>15</v>
      </c>
      <c r="C14" s="4">
        <f ca="1">C9-C11</f>
        <v>0</v>
      </c>
      <c r="F14" s="7"/>
      <c r="G14" s="7" t="s">
        <v>13</v>
      </c>
      <c r="H14" s="8"/>
      <c r="I14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4" s="8"/>
      <c r="K14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4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4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5" spans="2:13" x14ac:dyDescent="0.25">
      <c r="C15" s="4"/>
      <c r="F15" s="7"/>
      <c r="G15" s="7" t="s">
        <v>12</v>
      </c>
      <c r="H15" s="8"/>
      <c r="I15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5" s="8"/>
      <c r="K15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5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5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6" spans="2:13" x14ac:dyDescent="0.25">
      <c r="B16" s="1" t="s">
        <v>32</v>
      </c>
      <c r="C16" s="4">
        <f ca="1">SUM(INDIRECT("_" &amp; SUBSTITUTE($C$2,"-","_") &amp; "\Income[Amount]"))</f>
        <v>0</v>
      </c>
      <c r="F16" s="7"/>
      <c r="G16" s="7" t="s">
        <v>13</v>
      </c>
      <c r="H16" s="8"/>
      <c r="I16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16" s="8"/>
      <c r="K1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6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6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7" spans="2:15" x14ac:dyDescent="0.25">
      <c r="B17" s="1" t="s">
        <v>34</v>
      </c>
      <c r="C17" s="4">
        <f ca="1">C16-C11</f>
        <v>0</v>
      </c>
      <c r="F17" s="7"/>
      <c r="G17" s="7" t="s">
        <v>12</v>
      </c>
      <c r="H17" s="8"/>
      <c r="I17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7" s="8"/>
      <c r="K1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7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7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8" spans="2:15" x14ac:dyDescent="0.25">
      <c r="C18" s="4"/>
      <c r="F18" s="7"/>
      <c r="G18" s="7" t="s">
        <v>12</v>
      </c>
      <c r="H18" s="8"/>
      <c r="I18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8" s="8"/>
      <c r="K1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8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8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19" spans="2:15" x14ac:dyDescent="0.25">
      <c r="B19" s="1" t="s">
        <v>38</v>
      </c>
      <c r="C19" s="4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0</v>
      </c>
      <c r="F19" s="7"/>
      <c r="G19" s="7" t="s">
        <v>12</v>
      </c>
      <c r="H19" s="8"/>
      <c r="I19" s="9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>0</v>
      </c>
      <c r="J19" s="8"/>
      <c r="K1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19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19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0" spans="2:15" x14ac:dyDescent="0.25">
      <c r="B20" s="1" t="s">
        <v>39</v>
      </c>
      <c r="C20" s="4">
        <f ca="1">C12-C19</f>
        <v>0</v>
      </c>
      <c r="F20" s="7"/>
      <c r="G20" s="7" t="s">
        <v>24</v>
      </c>
      <c r="H20" s="8"/>
      <c r="I20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20" s="8"/>
      <c r="K2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20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20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1" spans="2:15" x14ac:dyDescent="0.25">
      <c r="B21" s="1" t="s">
        <v>40</v>
      </c>
      <c r="C21" s="4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0</v>
      </c>
      <c r="F21" s="11"/>
      <c r="G21" s="11" t="s">
        <v>13</v>
      </c>
      <c r="H21" s="13"/>
      <c r="I21" s="14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21" s="13"/>
      <c r="K21" s="18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21" s="18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21" s="20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2" spans="2:15" x14ac:dyDescent="0.25">
      <c r="B22" s="1" t="s">
        <v>41</v>
      </c>
      <c r="C22" s="4">
        <f ca="1">C21-C13</f>
        <v>0</v>
      </c>
      <c r="F22" s="7"/>
      <c r="G22" s="7" t="s">
        <v>13</v>
      </c>
      <c r="H22" s="8"/>
      <c r="I22" s="9" t="str">
        <f ca="1">IF(_2023_04\Budgets[[#This Row],[Type]]&lt;&gt;"Rolling", "", IF(NOT(ISBLANK(_2023_04\Budgets[[#This Row],[Override Rollover Amount]])), _2023_04\Budgets[[#This Row],[Override Rollover Amount]], SUMIF(INDIRECT("_" &amp; SUBSTITUTE($E$2,"-","_") &amp; "\Budgets[Name]"),_2023_04\Budgets[[#This Row],[Name]],INDIRECT("_" &amp; SUBSTITUTE($E$2,"-","_") &amp; "\Budgets[Remaining Budget]"))))</f>
        <v/>
      </c>
      <c r="J22" s="8"/>
      <c r="K2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"\Transactions[Type]"),"Debit")</f>
        <v>0</v>
      </c>
      <c r="L22" s="16">
        <f ca="1">SUMIFS(INDIRECT("_" &amp; SUBSTITUTE($C$2,"-","_") &amp; "\Transactions[Amount]"), INDIRECT("_" &amp; SUBSTITUTE($C$2,"-","_") &amp; "\Transactions[Category]"),_2023_04\Budgets[[#This Row],[Name]], INDIRECT("_" &amp; SUBSTITUTE($C$2,"-","_") &amp; "\Transactions[Type]"),"Credit")</f>
        <v>0</v>
      </c>
      <c r="M22" s="19">
        <f ca="1">_2023_04\Budgets[[#This Row],[Amount]]+IF(NOT(_2023_04\Budgets[[#This Row],[Rollover From Last Month]]=""),_2023_04\Budgets[[#This Row],[Rollover From Last Month]],0)-_2023_04\Budgets[[#This Row],[Total Debits]]+_2023_04\Budgets[[#This Row],[Total Credits]]</f>
        <v>0</v>
      </c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sheet="1" objects="1" scenarios="1" autoFilter="0"/>
  <conditionalFormatting sqref="G27:G127">
    <cfRule type="expression" dxfId="71" priority="1">
      <formula>AND(INDIRECT("_" &amp; SUBSTITUTE($C$2,"-","_") &amp; "\Transactions[@Category]") &lt;&gt; "Savings", INDIRECT("_" &amp; SUBSTITUTE($C$2,"-","_") &amp; "\Transactions[@Type]") = "Credit")</formula>
    </cfRule>
    <cfRule type="expression" dxfId="70" priority="2">
      <formula>AND(INDIRECT("_" &amp; SUBSTITUTE($C$2,"-","_") &amp; "\Transactions[@Category]") = "Savings", INDIRECT("_" &amp; SUBSTITUTE($C$2,"-","_") &amp; "\Transactions[@Type]") = "Debit")</formula>
    </cfRule>
  </conditionalFormatting>
  <dataValidations disablePrompts="1" count="5">
    <dataValidation type="list" allowBlank="1" showInputMessage="1" showErrorMessage="1" sqref="J27:J40" xr:uid="{FAC269E6-0E45-4C89-85A1-6583756A7138}">
      <formula1>"Spending,Reserve,Savings,Loan,Safety Net,Retirement"</formula1>
    </dataValidation>
    <dataValidation type="list" allowBlank="1" showInputMessage="1" showErrorMessage="1" sqref="E27:E127" xr:uid="{379BBF25-6578-4BC3-B674-DAD9B47E1D1E}">
      <formula1>INDIRECT("_" &amp; SUBSTITUTE($C$2,"-","_") &amp; "\Budgets[Name]")</formula1>
    </dataValidation>
    <dataValidation type="list" showInputMessage="1" showErrorMessage="1" sqref="G20" xr:uid="{D893DC83-B0AA-4A96-BE10-F059BF4E6522}">
      <formula1>"Rolling,Fixed,Saving"</formula1>
    </dataValidation>
    <dataValidation type="list" showInputMessage="1" showErrorMessage="1" sqref="G6:G19" xr:uid="{FEB44F6F-F56A-423A-B8F9-B4C7D2DFAFEF}">
      <formula1>"Rolling,Fixed"</formula1>
    </dataValidation>
    <dataValidation type="list" allowBlank="1" showInputMessage="1" showErrorMessage="1" sqref="F27:F127" xr:uid="{F709DF2D-3EA6-4B08-8B55-9726FA8021F8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FF60-ACB4-4EEA-8DDA-6528DCF83EF0}">
  <sheetPr codeName="Sheet8"/>
  <dimension ref="B2:O127"/>
  <sheetViews>
    <sheetView tabSelected="1" workbookViewId="0">
      <selection activeCell="J12" sqref="J12"/>
    </sheetView>
  </sheetViews>
  <sheetFormatPr defaultRowHeight="15" x14ac:dyDescent="0.25"/>
  <cols>
    <col min="2" max="2" width="36.85546875" customWidth="1"/>
    <col min="3" max="3" width="19.42578125" customWidth="1"/>
    <col min="4" max="4" width="21.140625" customWidth="1"/>
    <col min="5" max="5" width="18.5703125" customWidth="1"/>
    <col min="6" max="6" width="24.85546875" customWidth="1"/>
    <col min="7" max="7" width="26.140625" customWidth="1"/>
    <col min="8" max="8" width="27" customWidth="1"/>
    <col min="9" max="9" width="27.28515625" customWidth="1"/>
    <col min="10" max="10" width="28.7109375" customWidth="1"/>
    <col min="11" max="11" width="23" customWidth="1"/>
    <col min="12" max="12" width="24" customWidth="1"/>
    <col min="13" max="13" width="23.5703125" customWidth="1"/>
    <col min="14" max="14" width="28.7109375" customWidth="1"/>
    <col min="15" max="15" width="18.42578125" customWidth="1"/>
  </cols>
  <sheetData>
    <row r="2" spans="2:13" x14ac:dyDescent="0.25">
      <c r="B2" s="1" t="s">
        <v>21</v>
      </c>
      <c r="C2" t="str" cm="1">
        <f t="array" aca="1" ref="C2" ca="1">_xlfn.TEXTAFTER(CELL("filename",A1),"]")</f>
        <v>2023-03</v>
      </c>
      <c r="D2" s="1" t="s">
        <v>22</v>
      </c>
      <c r="E2" t="str">
        <f ca="1">_xlfn.CONCAT(IF(RIGHT(C2,2)="01", VALUE(LEFT(C2,4))-1, LEFT(C2,4)), "-", IF(RIGHT(C2,2)="01","12",TEXT(VALUE(RIGHT(C2,2))-1,"00")))</f>
        <v>2023-02</v>
      </c>
    </row>
    <row r="4" spans="2:13" ht="23.25" x14ac:dyDescent="0.35">
      <c r="B4" s="2" t="s">
        <v>6</v>
      </c>
      <c r="F4" s="2" t="s">
        <v>0</v>
      </c>
    </row>
    <row r="5" spans="2:13" x14ac:dyDescent="0.25">
      <c r="B5" s="1" t="s">
        <v>9</v>
      </c>
      <c r="C5" s="5"/>
      <c r="F5" s="1" t="s">
        <v>5</v>
      </c>
      <c r="G5" s="1" t="s">
        <v>1</v>
      </c>
      <c r="H5" s="1" t="s">
        <v>2</v>
      </c>
      <c r="I5" s="1" t="s">
        <v>3</v>
      </c>
      <c r="J5" s="1" t="s">
        <v>14</v>
      </c>
      <c r="K5" s="1" t="s">
        <v>35</v>
      </c>
      <c r="L5" s="1" t="s">
        <v>36</v>
      </c>
      <c r="M5" s="1" t="s">
        <v>4</v>
      </c>
    </row>
    <row r="6" spans="2:13" x14ac:dyDescent="0.25">
      <c r="B6" s="1" t="s">
        <v>10</v>
      </c>
      <c r="C6" s="6"/>
      <c r="F6" s="7"/>
      <c r="G6" s="7" t="s">
        <v>12</v>
      </c>
      <c r="H6" s="8"/>
      <c r="I6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6" s="8"/>
      <c r="K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6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7" spans="2:13" x14ac:dyDescent="0.25">
      <c r="B7" s="1" t="s">
        <v>7</v>
      </c>
      <c r="C7" s="6"/>
      <c r="F7" s="7"/>
      <c r="G7" s="7" t="s">
        <v>13</v>
      </c>
      <c r="H7" s="8"/>
      <c r="I7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7" s="8"/>
      <c r="K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7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8" spans="2:13" x14ac:dyDescent="0.25">
      <c r="B8" s="1" t="s">
        <v>8</v>
      </c>
      <c r="C8" s="3">
        <f>0.27*(C5+C6-C7)</f>
        <v>0</v>
      </c>
      <c r="F8" s="7"/>
      <c r="G8" s="7" t="s">
        <v>12</v>
      </c>
      <c r="H8" s="8"/>
      <c r="I8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8" s="8"/>
      <c r="K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8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9" spans="2:13" x14ac:dyDescent="0.25">
      <c r="B9" s="1" t="s">
        <v>11</v>
      </c>
      <c r="C9" s="3">
        <f>C5+C6-C7-C8</f>
        <v>0</v>
      </c>
      <c r="F9" s="7"/>
      <c r="G9" s="7" t="s">
        <v>13</v>
      </c>
      <c r="H9" s="8"/>
      <c r="I9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9" s="8"/>
      <c r="K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9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0" spans="2:13" x14ac:dyDescent="0.25">
      <c r="F10" s="7"/>
      <c r="G10" s="7" t="s">
        <v>13</v>
      </c>
      <c r="H10" s="8"/>
      <c r="I10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0" s="8"/>
      <c r="K1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0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1" spans="2:13" x14ac:dyDescent="0.25">
      <c r="B11" s="1" t="s">
        <v>33</v>
      </c>
      <c r="C11" s="4" cm="1">
        <f t="array" aca="1" ref="C11" ca="1">SUM(ABS(INDIRECT("_" &amp; SUBSTITUTE($C$2,"-","_") &amp; "\Budgets[Amount]")))</f>
        <v>0</v>
      </c>
      <c r="F11" s="7"/>
      <c r="G11" s="7" t="s">
        <v>13</v>
      </c>
      <c r="H11" s="8"/>
      <c r="I11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1" s="8"/>
      <c r="K11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1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1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2" spans="2:13" x14ac:dyDescent="0.25">
      <c r="B12" s="1" t="s">
        <v>37</v>
      </c>
      <c r="C12" s="4">
        <f ca="1">SUMIF(INDIRECT("_" &amp; SUBSTITUTE($C$2,"-","_") &amp; "\Budgets[Type]"), "&lt;&gt;Saving", INDIRECT("_" &amp; SUBSTITUTE($C$2,"-","_") &amp; "\Budgets[Amount]"))</f>
        <v>0</v>
      </c>
      <c r="F12" s="7"/>
      <c r="G12" s="7" t="s">
        <v>13</v>
      </c>
      <c r="H12" s="8"/>
      <c r="I12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2" s="8"/>
      <c r="K1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2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3" spans="2:13" x14ac:dyDescent="0.25">
      <c r="B13" s="1" t="s">
        <v>23</v>
      </c>
      <c r="C13" s="4">
        <f ca="1">ABS(SUMIF(INDIRECT("_" &amp; SUBSTITUTE($C$2,"-","_") &amp; "\Budgets[Type]"), "Saving", INDIRECT("_" &amp; SUBSTITUTE($C$2,"-","_") &amp; "\Budgets[Amount]")))</f>
        <v>0</v>
      </c>
      <c r="F13" s="7"/>
      <c r="G13" s="7" t="s">
        <v>12</v>
      </c>
      <c r="H13" s="8"/>
      <c r="I13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3" s="8"/>
      <c r="K13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3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3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4" spans="2:13" x14ac:dyDescent="0.25">
      <c r="B14" s="1" t="s">
        <v>15</v>
      </c>
      <c r="C14" s="4">
        <f ca="1">C9-C11</f>
        <v>0</v>
      </c>
      <c r="F14" s="7"/>
      <c r="G14" s="7" t="s">
        <v>13</v>
      </c>
      <c r="H14" s="8"/>
      <c r="I14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4" s="8"/>
      <c r="K14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4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4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5" spans="2:13" x14ac:dyDescent="0.25">
      <c r="C15" s="4"/>
      <c r="F15" s="7"/>
      <c r="G15" s="7" t="s">
        <v>12</v>
      </c>
      <c r="H15" s="8"/>
      <c r="I15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5" s="8"/>
      <c r="K15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5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5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6" spans="2:13" x14ac:dyDescent="0.25">
      <c r="B16" s="1" t="s">
        <v>32</v>
      </c>
      <c r="C16" s="4">
        <f ca="1">SUM(INDIRECT("_" &amp; SUBSTITUTE($C$2,"-","_") &amp; "\Income[Amount]"))</f>
        <v>0</v>
      </c>
      <c r="F16" s="7"/>
      <c r="G16" s="7" t="s">
        <v>13</v>
      </c>
      <c r="H16" s="8"/>
      <c r="I16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16" s="8"/>
      <c r="K1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6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6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17" spans="2:15" x14ac:dyDescent="0.25">
      <c r="B17" s="1" t="s">
        <v>34</v>
      </c>
      <c r="C17" s="4">
        <f ca="1">C16-C11</f>
        <v>0</v>
      </c>
      <c r="F17" s="7"/>
      <c r="G17" s="7" t="s">
        <v>12</v>
      </c>
      <c r="H17" s="8"/>
      <c r="I17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7" s="8"/>
      <c r="K1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7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7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8" spans="2:15" x14ac:dyDescent="0.25">
      <c r="C18" s="4"/>
      <c r="F18" s="7"/>
      <c r="G18" s="7" t="s">
        <v>12</v>
      </c>
      <c r="H18" s="8"/>
      <c r="I18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8" s="8"/>
      <c r="K1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8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8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19" spans="2:15" x14ac:dyDescent="0.25">
      <c r="B19" s="1" t="s">
        <v>38</v>
      </c>
      <c r="C19" s="4">
        <f ca="1">SUMIFS(INDIRECT("_" &amp; SUBSTITUTE($C$2,"-","_") &amp; "\Transactions[Amount]"), INDIRECT("_" &amp; SUBSTITUTE($C$2,"-","_") &amp; "\Transactions[Category]"), "&lt;&gt;Savings", INDIRECT("_" &amp; SUBSTITUTE($C$2,"-","_") &amp; "\Transactions[Type]"), "Debit")</f>
        <v>0</v>
      </c>
      <c r="F19" s="7"/>
      <c r="G19" s="7" t="s">
        <v>12</v>
      </c>
      <c r="H19" s="8"/>
      <c r="I19" s="9" t="e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>#REF!</v>
      </c>
      <c r="J19" s="8"/>
      <c r="K1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19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19" s="19" t="e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#REF!</v>
      </c>
    </row>
    <row r="20" spans="2:15" x14ac:dyDescent="0.25">
      <c r="B20" s="1" t="s">
        <v>39</v>
      </c>
      <c r="C20" s="4">
        <f ca="1">C12-C19</f>
        <v>0</v>
      </c>
      <c r="F20" s="7"/>
      <c r="G20" s="7" t="s">
        <v>24</v>
      </c>
      <c r="H20" s="8"/>
      <c r="I20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20" s="8"/>
      <c r="K2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20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20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21" spans="2:15" x14ac:dyDescent="0.25">
      <c r="B21" s="1" t="s">
        <v>40</v>
      </c>
      <c r="C21" s="4">
        <f ca="1">SUMIFS(INDIRECT("_" &amp; SUBSTITUTE($C$2,"-","_") &amp; "\Transactions[Amount]"), INDIRECT("_" &amp; SUBSTITUTE($C$2,"-","_") &amp; "\Transactions[Category]"), "Savings", INDIRECT("_" &amp; SUBSTITUTE($C$2,"-","_") &amp; "\Transactions[Type]"), "Credit") - SUMIFS(INDIRECT("_" &amp; SUBSTITUTE($C$2,"-","_") &amp; "\Transactions[Amount]"), INDIRECT("_" &amp; SUBSTITUTE($C$2,"-","_") &amp; "\Transactions[Category]"), "Savings", INDIRECT("_" &amp; SUBSTITUTE($C$2,"-","_") &amp; "\Transactions[Type]"), "Debit")</f>
        <v>0</v>
      </c>
      <c r="F21" s="11"/>
      <c r="G21" s="11" t="s">
        <v>13</v>
      </c>
      <c r="H21" s="13"/>
      <c r="I21" s="14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21" s="13"/>
      <c r="K21" s="18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21" s="18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21" s="20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22" spans="2:15" x14ac:dyDescent="0.25">
      <c r="B22" s="1" t="s">
        <v>41</v>
      </c>
      <c r="C22" s="4">
        <f ca="1">C21-C13</f>
        <v>0</v>
      </c>
      <c r="F22" s="7"/>
      <c r="G22" s="7" t="s">
        <v>13</v>
      </c>
      <c r="H22" s="8"/>
      <c r="I22" s="9" t="str">
        <f ca="1">IF(_2023_03\Budgets[[#This Row],[Type]]&lt;&gt;"Rolling", "", IF(NOT(ISBLANK(_2023_03\Budgets[[#This Row],[Override Rollover Amount]])), _2023_03\Budgets[[#This Row],[Override Rollover Amount]], SUMIF(INDIRECT("_" &amp; SUBSTITUTE($E$2,"-","_") &amp; "\Budgets[Name]"),_2023_03\Budgets[[#This Row],[Name]],INDIRECT("_" &amp; SUBSTITUTE($E$2,"-","_") &amp; "\Budgets[Remaining Budget]"))))</f>
        <v/>
      </c>
      <c r="J22" s="8"/>
      <c r="K2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"\Transactions[Type]"),"Debit")</f>
        <v>0</v>
      </c>
      <c r="L22" s="16">
        <f ca="1">SUMIFS(INDIRECT("_" &amp; SUBSTITUTE($C$2,"-","_") &amp; "\Transactions[Amount]"), INDIRECT("_" &amp; SUBSTITUTE($C$2,"-","_") &amp; "\Transactions[Category]"),_2023_03\Budgets[[#This Row],[Name]], INDIRECT("_" &amp; SUBSTITUTE($C$2,"-","_") &amp; "\Transactions[Type]"),"Credit")</f>
        <v>0</v>
      </c>
      <c r="M22" s="19">
        <f ca="1">_2023_03\Budgets[[#This Row],[Amount]]+IF(NOT(_2023_03\Budgets[[#This Row],[Rollover From Last Month]]=""),_2023_03\Budgets[[#This Row],[Rollover From Last Month]],0)-_2023_03\Budgets[[#This Row],[Total Debits]]+_2023_03\Budgets[[#This Row],[Total Credits]]</f>
        <v>0</v>
      </c>
    </row>
    <row r="25" spans="2:15" ht="23.25" x14ac:dyDescent="0.35">
      <c r="B25" s="2" t="s">
        <v>16</v>
      </c>
      <c r="I25" s="2" t="s">
        <v>30</v>
      </c>
    </row>
    <row r="26" spans="2:15" x14ac:dyDescent="0.25">
      <c r="B26" s="1" t="s">
        <v>17</v>
      </c>
      <c r="C26" s="1" t="s">
        <v>18</v>
      </c>
      <c r="D26" s="1" t="s">
        <v>19</v>
      </c>
      <c r="E26" s="1" t="s">
        <v>20</v>
      </c>
      <c r="F26" s="1" t="s">
        <v>1</v>
      </c>
      <c r="G26" s="1" t="s">
        <v>2</v>
      </c>
      <c r="I26" s="1" t="s">
        <v>5</v>
      </c>
      <c r="J26" s="1" t="s">
        <v>20</v>
      </c>
      <c r="K26" s="1" t="s">
        <v>25</v>
      </c>
      <c r="L26" s="1" t="s">
        <v>26</v>
      </c>
      <c r="M26" s="1" t="s">
        <v>27</v>
      </c>
      <c r="N26" s="1" t="s">
        <v>28</v>
      </c>
      <c r="O26" s="1" t="s">
        <v>29</v>
      </c>
    </row>
    <row r="27" spans="2:15" x14ac:dyDescent="0.25">
      <c r="B27" s="10"/>
      <c r="C27" s="7"/>
      <c r="D27" s="7"/>
      <c r="E27" s="7"/>
      <c r="F27" s="7"/>
      <c r="G27" s="15"/>
      <c r="I27" s="7"/>
      <c r="J27" s="7"/>
      <c r="K27" s="8"/>
      <c r="L27" s="8"/>
      <c r="M27" s="8"/>
      <c r="N27" s="8"/>
      <c r="O27" s="8"/>
    </row>
    <row r="28" spans="2:15" x14ac:dyDescent="0.25">
      <c r="B28" s="10"/>
      <c r="C28" s="7"/>
      <c r="D28" s="7"/>
      <c r="E28" s="7"/>
      <c r="F28" s="7"/>
      <c r="G28" s="15"/>
      <c r="I28" s="7"/>
      <c r="J28" s="7"/>
      <c r="K28" s="8"/>
      <c r="L28" s="8"/>
      <c r="M28" s="8"/>
      <c r="N28" s="8"/>
      <c r="O28" s="8"/>
    </row>
    <row r="29" spans="2:15" x14ac:dyDescent="0.25">
      <c r="B29" s="10"/>
      <c r="C29" s="7"/>
      <c r="D29" s="7"/>
      <c r="E29" s="7"/>
      <c r="F29" s="7"/>
      <c r="G29" s="15"/>
      <c r="I29" s="7"/>
      <c r="J29" s="7"/>
      <c r="K29" s="8"/>
      <c r="L29" s="8"/>
      <c r="M29" s="8"/>
      <c r="N29" s="8"/>
      <c r="O29" s="8"/>
    </row>
    <row r="30" spans="2:15" x14ac:dyDescent="0.25">
      <c r="B30" s="10"/>
      <c r="C30" s="7"/>
      <c r="D30" s="7"/>
      <c r="E30" s="7"/>
      <c r="F30" s="7"/>
      <c r="G30" s="15"/>
      <c r="I30" s="7"/>
      <c r="J30" s="7"/>
      <c r="K30" s="8"/>
      <c r="L30" s="8"/>
      <c r="M30" s="8"/>
      <c r="N30" s="8"/>
      <c r="O30" s="8"/>
    </row>
    <row r="31" spans="2:15" x14ac:dyDescent="0.25">
      <c r="B31" s="10"/>
      <c r="C31" s="7"/>
      <c r="D31" s="7"/>
      <c r="E31" s="7"/>
      <c r="F31" s="7"/>
      <c r="G31" s="15"/>
      <c r="I31" s="7"/>
      <c r="J31" s="7"/>
      <c r="K31" s="8"/>
      <c r="L31" s="8"/>
      <c r="M31" s="8"/>
      <c r="N31" s="8"/>
      <c r="O31" s="8"/>
    </row>
    <row r="32" spans="2:15" x14ac:dyDescent="0.25">
      <c r="B32" s="10"/>
      <c r="C32" s="7"/>
      <c r="D32" s="7"/>
      <c r="E32" s="7"/>
      <c r="F32" s="7"/>
      <c r="G32" s="15"/>
      <c r="I32" s="7"/>
      <c r="J32" s="7"/>
      <c r="K32" s="8"/>
      <c r="L32" s="8"/>
      <c r="M32" s="8"/>
      <c r="N32" s="8"/>
      <c r="O32" s="8"/>
    </row>
    <row r="33" spans="2:15" x14ac:dyDescent="0.25">
      <c r="B33" s="10"/>
      <c r="C33" s="7"/>
      <c r="D33" s="7"/>
      <c r="E33" s="7"/>
      <c r="F33" s="7"/>
      <c r="G33" s="15"/>
      <c r="I33" s="7"/>
      <c r="J33" s="7"/>
      <c r="K33" s="8"/>
      <c r="L33" s="8"/>
      <c r="M33" s="8"/>
      <c r="N33" s="8"/>
      <c r="O33" s="8"/>
    </row>
    <row r="34" spans="2:15" x14ac:dyDescent="0.25">
      <c r="B34" s="10"/>
      <c r="C34" s="7"/>
      <c r="D34" s="7"/>
      <c r="E34" s="7"/>
      <c r="F34" s="7"/>
      <c r="G34" s="15"/>
      <c r="I34" s="7"/>
      <c r="J34" s="7"/>
      <c r="K34" s="8"/>
      <c r="L34" s="8"/>
      <c r="M34" s="8"/>
      <c r="N34" s="8"/>
      <c r="O34" s="8"/>
    </row>
    <row r="35" spans="2:15" x14ac:dyDescent="0.25">
      <c r="B35" s="10"/>
      <c r="C35" s="7"/>
      <c r="D35" s="7"/>
      <c r="E35" s="7"/>
      <c r="F35" s="7"/>
      <c r="G35" s="15"/>
      <c r="I35" s="11"/>
      <c r="J35" s="11"/>
      <c r="K35" s="13"/>
      <c r="L35" s="13"/>
      <c r="M35" s="13"/>
      <c r="N35" s="13"/>
      <c r="O35" s="13"/>
    </row>
    <row r="36" spans="2:15" x14ac:dyDescent="0.25">
      <c r="B36" s="10"/>
      <c r="C36" s="7"/>
      <c r="D36" s="7"/>
      <c r="E36" s="7"/>
      <c r="F36" s="7"/>
      <c r="G36" s="15"/>
      <c r="I36" s="11"/>
      <c r="J36" s="11"/>
      <c r="K36" s="13"/>
      <c r="L36" s="13"/>
      <c r="M36" s="13"/>
      <c r="N36" s="13"/>
      <c r="O36" s="13"/>
    </row>
    <row r="37" spans="2:15" x14ac:dyDescent="0.25">
      <c r="B37" s="10"/>
      <c r="C37" s="7"/>
      <c r="D37" s="7"/>
      <c r="E37" s="7"/>
      <c r="F37" s="7"/>
      <c r="G37" s="15"/>
      <c r="I37" s="11"/>
      <c r="J37" s="11"/>
      <c r="K37" s="13"/>
      <c r="L37" s="13"/>
      <c r="M37" s="13"/>
      <c r="N37" s="13"/>
      <c r="O37" s="13"/>
    </row>
    <row r="38" spans="2:15" x14ac:dyDescent="0.25">
      <c r="B38" s="10"/>
      <c r="C38" s="7"/>
      <c r="D38" s="7"/>
      <c r="E38" s="7"/>
      <c r="F38" s="7"/>
      <c r="G38" s="15"/>
      <c r="I38" s="11"/>
      <c r="J38" s="11"/>
      <c r="K38" s="13"/>
      <c r="L38" s="13"/>
      <c r="M38" s="13"/>
      <c r="N38" s="13"/>
      <c r="O38" s="13"/>
    </row>
    <row r="39" spans="2:15" x14ac:dyDescent="0.25">
      <c r="B39" s="10"/>
      <c r="C39" s="7"/>
      <c r="D39" s="7"/>
      <c r="E39" s="7"/>
      <c r="F39" s="7"/>
      <c r="G39" s="15"/>
      <c r="I39" s="11"/>
      <c r="J39" s="11"/>
      <c r="K39" s="13"/>
      <c r="L39" s="13"/>
      <c r="M39" s="13"/>
      <c r="N39" s="13"/>
      <c r="O39" s="13"/>
    </row>
    <row r="40" spans="2:15" x14ac:dyDescent="0.25">
      <c r="B40" s="10"/>
      <c r="C40" s="7"/>
      <c r="D40" s="7"/>
      <c r="E40" s="7"/>
      <c r="F40" s="7"/>
      <c r="G40" s="15"/>
      <c r="I40" s="7"/>
      <c r="J40" s="7"/>
      <c r="K40" s="8"/>
      <c r="L40" s="8"/>
      <c r="M40" s="8"/>
      <c r="N40" s="8"/>
      <c r="O40" s="8"/>
    </row>
    <row r="41" spans="2:15" x14ac:dyDescent="0.25">
      <c r="B41" s="10"/>
      <c r="C41" s="7"/>
      <c r="D41" s="7"/>
      <c r="E41" s="7"/>
      <c r="F41" s="7"/>
      <c r="G41" s="15"/>
    </row>
    <row r="42" spans="2:15" ht="23.25" x14ac:dyDescent="0.35">
      <c r="B42" s="10"/>
      <c r="C42" s="7"/>
      <c r="D42" s="7"/>
      <c r="E42" s="7"/>
      <c r="F42" s="7"/>
      <c r="G42" s="15"/>
      <c r="I42" s="2" t="s">
        <v>6</v>
      </c>
    </row>
    <row r="43" spans="2:15" x14ac:dyDescent="0.25">
      <c r="B43" s="10"/>
      <c r="C43" s="7"/>
      <c r="D43" s="7"/>
      <c r="E43" s="7"/>
      <c r="F43" s="7"/>
      <c r="G43" s="15"/>
      <c r="I43" s="1" t="s">
        <v>17</v>
      </c>
      <c r="J43" s="1" t="s">
        <v>31</v>
      </c>
      <c r="K43" s="1" t="s">
        <v>2</v>
      </c>
    </row>
    <row r="44" spans="2:15" x14ac:dyDescent="0.25">
      <c r="B44" s="10"/>
      <c r="C44" s="7"/>
      <c r="D44" s="7"/>
      <c r="E44" s="7"/>
      <c r="F44" s="7"/>
      <c r="G44" s="15"/>
      <c r="I44" s="10"/>
      <c r="J44" s="7"/>
      <c r="K44" s="8"/>
    </row>
    <row r="45" spans="2:15" x14ac:dyDescent="0.25">
      <c r="B45" s="10"/>
      <c r="C45" s="7"/>
      <c r="D45" s="7"/>
      <c r="E45" s="7"/>
      <c r="F45" s="7"/>
      <c r="G45" s="15"/>
      <c r="I45" s="10"/>
      <c r="J45" s="7"/>
      <c r="K45" s="8"/>
    </row>
    <row r="46" spans="2:15" x14ac:dyDescent="0.25">
      <c r="B46" s="10"/>
      <c r="C46" s="7"/>
      <c r="D46" s="7"/>
      <c r="E46" s="7"/>
      <c r="F46" s="7"/>
      <c r="G46" s="15"/>
      <c r="I46" s="10"/>
      <c r="J46" s="7"/>
      <c r="K46" s="8"/>
    </row>
    <row r="47" spans="2:15" x14ac:dyDescent="0.25">
      <c r="B47" s="10"/>
      <c r="C47" s="7"/>
      <c r="D47" s="7"/>
      <c r="E47" s="7"/>
      <c r="F47" s="7"/>
      <c r="G47" s="15"/>
      <c r="I47" s="10"/>
      <c r="J47" s="7"/>
      <c r="K47" s="8"/>
    </row>
    <row r="48" spans="2:15" x14ac:dyDescent="0.25">
      <c r="B48" s="10"/>
      <c r="C48" s="7"/>
      <c r="D48" s="7"/>
      <c r="E48" s="7"/>
      <c r="F48" s="7"/>
      <c r="G48" s="15"/>
      <c r="I48" s="10"/>
      <c r="J48" s="7"/>
      <c r="K48" s="8"/>
    </row>
    <row r="49" spans="2:11" x14ac:dyDescent="0.25">
      <c r="B49" s="10"/>
      <c r="C49" s="7"/>
      <c r="D49" s="7"/>
      <c r="E49" s="7"/>
      <c r="F49" s="7"/>
      <c r="G49" s="15"/>
      <c r="I49" s="10"/>
      <c r="J49" s="7"/>
      <c r="K49" s="8"/>
    </row>
    <row r="50" spans="2:11" x14ac:dyDescent="0.25">
      <c r="B50" s="10"/>
      <c r="C50" s="7"/>
      <c r="D50" s="7"/>
      <c r="E50" s="7"/>
      <c r="F50" s="7"/>
      <c r="G50" s="15"/>
      <c r="I50" s="10"/>
      <c r="J50" s="7"/>
      <c r="K50" s="8"/>
    </row>
    <row r="51" spans="2:11" x14ac:dyDescent="0.25">
      <c r="B51" s="10"/>
      <c r="C51" s="7"/>
      <c r="D51" s="7"/>
      <c r="E51" s="7"/>
      <c r="F51" s="7"/>
      <c r="G51" s="15"/>
      <c r="I51" s="10"/>
      <c r="J51" s="7"/>
      <c r="K51" s="8"/>
    </row>
    <row r="52" spans="2:11" x14ac:dyDescent="0.25">
      <c r="B52" s="10"/>
      <c r="C52" s="7"/>
      <c r="D52" s="7"/>
      <c r="E52" s="7"/>
      <c r="F52" s="7"/>
      <c r="G52" s="15"/>
      <c r="I52" s="12"/>
      <c r="J52" s="11"/>
      <c r="K52" s="13"/>
    </row>
    <row r="53" spans="2:11" x14ac:dyDescent="0.25">
      <c r="B53" s="10"/>
      <c r="C53" s="7"/>
      <c r="D53" s="7"/>
      <c r="E53" s="7"/>
      <c r="F53" s="7"/>
      <c r="G53" s="15"/>
    </row>
    <row r="54" spans="2:11" x14ac:dyDescent="0.25">
      <c r="B54" s="10"/>
      <c r="C54" s="7"/>
      <c r="D54" s="7"/>
      <c r="E54" s="7"/>
      <c r="F54" s="7"/>
      <c r="G54" s="15"/>
    </row>
    <row r="55" spans="2:11" x14ac:dyDescent="0.25">
      <c r="B55" s="10"/>
      <c r="C55" s="7"/>
      <c r="D55" s="7"/>
      <c r="E55" s="7"/>
      <c r="F55" s="7"/>
      <c r="G55" s="15"/>
    </row>
    <row r="56" spans="2:11" x14ac:dyDescent="0.25">
      <c r="B56" s="10"/>
      <c r="C56" s="7"/>
      <c r="D56" s="7"/>
      <c r="E56" s="7"/>
      <c r="F56" s="7"/>
      <c r="G56" s="15"/>
    </row>
    <row r="57" spans="2:11" x14ac:dyDescent="0.25">
      <c r="B57" s="10"/>
      <c r="C57" s="7"/>
      <c r="D57" s="7"/>
      <c r="E57" s="7"/>
      <c r="F57" s="7"/>
      <c r="G57" s="15"/>
    </row>
    <row r="58" spans="2:11" x14ac:dyDescent="0.25">
      <c r="B58" s="10"/>
      <c r="C58" s="7"/>
      <c r="D58" s="7"/>
      <c r="E58" s="7"/>
      <c r="F58" s="7"/>
      <c r="G58" s="15"/>
    </row>
    <row r="59" spans="2:11" x14ac:dyDescent="0.25">
      <c r="B59" s="10"/>
      <c r="C59" s="7"/>
      <c r="D59" s="7"/>
      <c r="E59" s="7"/>
      <c r="F59" s="7"/>
      <c r="G59" s="15"/>
    </row>
    <row r="60" spans="2:11" x14ac:dyDescent="0.25">
      <c r="B60" s="10"/>
      <c r="C60" s="7"/>
      <c r="D60" s="7"/>
      <c r="E60" s="7"/>
      <c r="F60" s="7"/>
      <c r="G60" s="15"/>
    </row>
    <row r="61" spans="2:11" x14ac:dyDescent="0.25">
      <c r="B61" s="10"/>
      <c r="C61" s="7"/>
      <c r="D61" s="7"/>
      <c r="E61" s="7"/>
      <c r="F61" s="7"/>
      <c r="G61" s="15"/>
    </row>
    <row r="62" spans="2:11" x14ac:dyDescent="0.25">
      <c r="B62" s="10"/>
      <c r="C62" s="7"/>
      <c r="D62" s="7"/>
      <c r="E62" s="7"/>
      <c r="F62" s="7"/>
      <c r="G62" s="15"/>
    </row>
    <row r="63" spans="2:11" x14ac:dyDescent="0.25">
      <c r="B63" s="10"/>
      <c r="C63" s="7"/>
      <c r="D63" s="7"/>
      <c r="E63" s="7"/>
      <c r="F63" s="7"/>
      <c r="G63" s="15"/>
    </row>
    <row r="64" spans="2:11" x14ac:dyDescent="0.25">
      <c r="B64" s="10"/>
      <c r="C64" s="7"/>
      <c r="D64" s="7"/>
      <c r="E64" s="7"/>
      <c r="F64" s="7"/>
      <c r="G64" s="15"/>
    </row>
    <row r="65" spans="2:7" x14ac:dyDescent="0.25">
      <c r="B65" s="10"/>
      <c r="C65" s="7"/>
      <c r="D65" s="7"/>
      <c r="E65" s="7"/>
      <c r="F65" s="7"/>
      <c r="G65" s="15"/>
    </row>
    <row r="66" spans="2:7" x14ac:dyDescent="0.25">
      <c r="B66" s="10"/>
      <c r="C66" s="7"/>
      <c r="D66" s="7"/>
      <c r="E66" s="7"/>
      <c r="F66" s="7"/>
      <c r="G66" s="15"/>
    </row>
    <row r="67" spans="2:7" x14ac:dyDescent="0.25">
      <c r="B67" s="10"/>
      <c r="C67" s="7"/>
      <c r="D67" s="7"/>
      <c r="E67" s="7"/>
      <c r="F67" s="7"/>
      <c r="G67" s="15"/>
    </row>
    <row r="68" spans="2:7" x14ac:dyDescent="0.25">
      <c r="B68" s="10"/>
      <c r="C68" s="7"/>
      <c r="D68" s="7"/>
      <c r="E68" s="7"/>
      <c r="F68" s="7"/>
      <c r="G68" s="15"/>
    </row>
    <row r="69" spans="2:7" x14ac:dyDescent="0.25">
      <c r="B69" s="10"/>
      <c r="C69" s="7"/>
      <c r="D69" s="7"/>
      <c r="E69" s="7"/>
      <c r="F69" s="7"/>
      <c r="G69" s="15"/>
    </row>
    <row r="70" spans="2:7" x14ac:dyDescent="0.25">
      <c r="B70" s="10"/>
      <c r="C70" s="7"/>
      <c r="D70" s="7"/>
      <c r="E70" s="7"/>
      <c r="F70" s="7"/>
      <c r="G70" s="15"/>
    </row>
    <row r="71" spans="2:7" x14ac:dyDescent="0.25">
      <c r="B71" s="10"/>
      <c r="C71" s="7"/>
      <c r="D71" s="7"/>
      <c r="E71" s="7"/>
      <c r="F71" s="7"/>
      <c r="G71" s="15"/>
    </row>
    <row r="72" spans="2:7" x14ac:dyDescent="0.25">
      <c r="B72" s="10"/>
      <c r="C72" s="7"/>
      <c r="D72" s="7"/>
      <c r="E72" s="7"/>
      <c r="F72" s="7"/>
      <c r="G72" s="15"/>
    </row>
    <row r="73" spans="2:7" x14ac:dyDescent="0.25">
      <c r="B73" s="10"/>
      <c r="C73" s="7"/>
      <c r="D73" s="7"/>
      <c r="E73" s="7"/>
      <c r="F73" s="7"/>
      <c r="G73" s="15"/>
    </row>
    <row r="74" spans="2:7" x14ac:dyDescent="0.25">
      <c r="B74" s="10"/>
      <c r="C74" s="7"/>
      <c r="D74" s="7"/>
      <c r="E74" s="7"/>
      <c r="F74" s="7"/>
      <c r="G74" s="15"/>
    </row>
    <row r="75" spans="2:7" x14ac:dyDescent="0.25">
      <c r="B75" s="10"/>
      <c r="C75" s="7"/>
      <c r="D75" s="7"/>
      <c r="E75" s="7"/>
      <c r="F75" s="7"/>
      <c r="G75" s="15"/>
    </row>
    <row r="76" spans="2:7" x14ac:dyDescent="0.25">
      <c r="B76" s="10"/>
      <c r="C76" s="7"/>
      <c r="D76" s="7"/>
      <c r="E76" s="7"/>
      <c r="F76" s="7"/>
      <c r="G76" s="15"/>
    </row>
    <row r="77" spans="2:7" x14ac:dyDescent="0.25">
      <c r="B77" s="10"/>
      <c r="C77" s="7"/>
      <c r="D77" s="7"/>
      <c r="E77" s="7"/>
      <c r="F77" s="7"/>
      <c r="G77" s="15"/>
    </row>
    <row r="78" spans="2:7" x14ac:dyDescent="0.25">
      <c r="B78" s="10"/>
      <c r="C78" s="7"/>
      <c r="D78" s="7"/>
      <c r="E78" s="7"/>
      <c r="F78" s="7"/>
      <c r="G78" s="15"/>
    </row>
    <row r="79" spans="2:7" x14ac:dyDescent="0.25">
      <c r="B79" s="10"/>
      <c r="C79" s="7"/>
      <c r="D79" s="7"/>
      <c r="E79" s="7"/>
      <c r="F79" s="7"/>
      <c r="G79" s="15"/>
    </row>
    <row r="80" spans="2:7" x14ac:dyDescent="0.25">
      <c r="B80" s="10"/>
      <c r="C80" s="7"/>
      <c r="D80" s="7"/>
      <c r="E80" s="7"/>
      <c r="F80" s="7"/>
      <c r="G80" s="15"/>
    </row>
    <row r="81" spans="2:7" x14ac:dyDescent="0.25">
      <c r="B81" s="10"/>
      <c r="C81" s="7"/>
      <c r="D81" s="7"/>
      <c r="E81" s="7"/>
      <c r="F81" s="7"/>
      <c r="G81" s="15"/>
    </row>
    <row r="82" spans="2:7" x14ac:dyDescent="0.25">
      <c r="B82" s="10"/>
      <c r="C82" s="7"/>
      <c r="D82" s="7"/>
      <c r="E82" s="7"/>
      <c r="F82" s="7"/>
      <c r="G82" s="15"/>
    </row>
    <row r="83" spans="2:7" x14ac:dyDescent="0.25">
      <c r="B83" s="10"/>
      <c r="C83" s="7"/>
      <c r="D83" s="7"/>
      <c r="E83" s="7"/>
      <c r="F83" s="7"/>
      <c r="G83" s="15"/>
    </row>
    <row r="84" spans="2:7" x14ac:dyDescent="0.25">
      <c r="B84" s="10"/>
      <c r="C84" s="7"/>
      <c r="D84" s="7"/>
      <c r="E84" s="7"/>
      <c r="F84" s="7"/>
      <c r="G84" s="15"/>
    </row>
    <row r="85" spans="2:7" x14ac:dyDescent="0.25">
      <c r="B85" s="10"/>
      <c r="C85" s="7"/>
      <c r="D85" s="7"/>
      <c r="E85" s="7"/>
      <c r="F85" s="7"/>
      <c r="G85" s="15"/>
    </row>
    <row r="86" spans="2:7" x14ac:dyDescent="0.25">
      <c r="B86" s="10"/>
      <c r="C86" s="7"/>
      <c r="D86" s="7"/>
      <c r="E86" s="7"/>
      <c r="F86" s="7"/>
      <c r="G86" s="15"/>
    </row>
    <row r="87" spans="2:7" x14ac:dyDescent="0.25">
      <c r="B87" s="10"/>
      <c r="C87" s="7"/>
      <c r="D87" s="7"/>
      <c r="E87" s="7"/>
      <c r="F87" s="7"/>
      <c r="G87" s="15"/>
    </row>
    <row r="88" spans="2:7" x14ac:dyDescent="0.25">
      <c r="B88" s="10"/>
      <c r="C88" s="7"/>
      <c r="D88" s="7"/>
      <c r="E88" s="7"/>
      <c r="F88" s="7"/>
      <c r="G88" s="15"/>
    </row>
    <row r="89" spans="2:7" x14ac:dyDescent="0.25">
      <c r="B89" s="10"/>
      <c r="C89" s="7"/>
      <c r="D89" s="7"/>
      <c r="E89" s="7"/>
      <c r="F89" s="7"/>
      <c r="G89" s="15"/>
    </row>
    <row r="90" spans="2:7" x14ac:dyDescent="0.25">
      <c r="B90" s="10"/>
      <c r="C90" s="7"/>
      <c r="D90" s="7"/>
      <c r="E90" s="7"/>
      <c r="F90" s="7"/>
      <c r="G90" s="15"/>
    </row>
    <row r="91" spans="2:7" x14ac:dyDescent="0.25">
      <c r="B91" s="10"/>
      <c r="C91" s="7"/>
      <c r="D91" s="7"/>
      <c r="E91" s="7"/>
      <c r="F91" s="7"/>
      <c r="G91" s="15"/>
    </row>
    <row r="92" spans="2:7" x14ac:dyDescent="0.25">
      <c r="B92" s="10"/>
      <c r="C92" s="7"/>
      <c r="D92" s="7"/>
      <c r="E92" s="7"/>
      <c r="F92" s="7"/>
      <c r="G92" s="15"/>
    </row>
    <row r="93" spans="2:7" x14ac:dyDescent="0.25">
      <c r="B93" s="10"/>
      <c r="C93" s="7"/>
      <c r="D93" s="7"/>
      <c r="E93" s="7"/>
      <c r="F93" s="7"/>
      <c r="G93" s="15"/>
    </row>
    <row r="94" spans="2:7" x14ac:dyDescent="0.25">
      <c r="B94" s="10"/>
      <c r="C94" s="7"/>
      <c r="D94" s="7"/>
      <c r="E94" s="7"/>
      <c r="F94" s="7"/>
      <c r="G94" s="15"/>
    </row>
    <row r="95" spans="2:7" x14ac:dyDescent="0.25">
      <c r="B95" s="10"/>
      <c r="C95" s="7"/>
      <c r="D95" s="7"/>
      <c r="E95" s="7"/>
      <c r="F95" s="7"/>
      <c r="G95" s="15"/>
    </row>
    <row r="96" spans="2:7" x14ac:dyDescent="0.25">
      <c r="B96" s="10"/>
      <c r="C96" s="7"/>
      <c r="D96" s="7"/>
      <c r="E96" s="7"/>
      <c r="F96" s="7"/>
      <c r="G96" s="15"/>
    </row>
    <row r="97" spans="2:7" x14ac:dyDescent="0.25">
      <c r="B97" s="10"/>
      <c r="C97" s="7"/>
      <c r="D97" s="7"/>
      <c r="E97" s="7"/>
      <c r="F97" s="7"/>
      <c r="G97" s="15"/>
    </row>
    <row r="98" spans="2:7" x14ac:dyDescent="0.25">
      <c r="B98" s="10"/>
      <c r="C98" s="7"/>
      <c r="D98" s="7"/>
      <c r="E98" s="7"/>
      <c r="F98" s="7"/>
      <c r="G98" s="15"/>
    </row>
    <row r="99" spans="2:7" x14ac:dyDescent="0.25">
      <c r="B99" s="10"/>
      <c r="C99" s="7"/>
      <c r="D99" s="7"/>
      <c r="E99" s="7"/>
      <c r="F99" s="7"/>
      <c r="G99" s="15"/>
    </row>
    <row r="100" spans="2:7" x14ac:dyDescent="0.25">
      <c r="B100" s="10"/>
      <c r="C100" s="7"/>
      <c r="D100" s="7"/>
      <c r="E100" s="7"/>
      <c r="F100" s="7"/>
      <c r="G100" s="15"/>
    </row>
    <row r="101" spans="2:7" x14ac:dyDescent="0.25">
      <c r="B101" s="10"/>
      <c r="C101" s="7"/>
      <c r="D101" s="7"/>
      <c r="E101" s="7"/>
      <c r="F101" s="7"/>
      <c r="G101" s="15"/>
    </row>
    <row r="102" spans="2:7" x14ac:dyDescent="0.25">
      <c r="B102" s="10"/>
      <c r="C102" s="7"/>
      <c r="D102" s="7"/>
      <c r="E102" s="7"/>
      <c r="F102" s="7"/>
      <c r="G102" s="15"/>
    </row>
    <row r="103" spans="2:7" x14ac:dyDescent="0.25">
      <c r="B103" s="10"/>
      <c r="C103" s="7"/>
      <c r="D103" s="7"/>
      <c r="E103" s="7"/>
      <c r="F103" s="7"/>
      <c r="G103" s="15"/>
    </row>
    <row r="104" spans="2:7" x14ac:dyDescent="0.25">
      <c r="B104" s="10"/>
      <c r="C104" s="7"/>
      <c r="D104" s="7"/>
      <c r="E104" s="7"/>
      <c r="F104" s="7"/>
      <c r="G104" s="15"/>
    </row>
    <row r="105" spans="2:7" x14ac:dyDescent="0.25">
      <c r="B105" s="10"/>
      <c r="C105" s="7"/>
      <c r="D105" s="7"/>
      <c r="E105" s="7"/>
      <c r="F105" s="7"/>
      <c r="G105" s="15"/>
    </row>
    <row r="106" spans="2:7" x14ac:dyDescent="0.25">
      <c r="B106" s="10"/>
      <c r="C106" s="7"/>
      <c r="D106" s="7"/>
      <c r="E106" s="7"/>
      <c r="F106" s="7"/>
      <c r="G106" s="15"/>
    </row>
    <row r="107" spans="2:7" x14ac:dyDescent="0.25">
      <c r="B107" s="10"/>
      <c r="C107" s="7"/>
      <c r="D107" s="7"/>
      <c r="E107" s="7"/>
      <c r="F107" s="7"/>
      <c r="G107" s="15"/>
    </row>
    <row r="108" spans="2:7" x14ac:dyDescent="0.25">
      <c r="B108" s="10"/>
      <c r="C108" s="7"/>
      <c r="D108" s="7"/>
      <c r="E108" s="7"/>
      <c r="F108" s="7"/>
      <c r="G108" s="15"/>
    </row>
    <row r="109" spans="2:7" x14ac:dyDescent="0.25">
      <c r="B109" s="10"/>
      <c r="C109" s="7"/>
      <c r="D109" s="7"/>
      <c r="E109" s="7"/>
      <c r="F109" s="7"/>
      <c r="G109" s="15"/>
    </row>
    <row r="110" spans="2:7" x14ac:dyDescent="0.25">
      <c r="B110" s="10"/>
      <c r="C110" s="7"/>
      <c r="D110" s="7"/>
      <c r="E110" s="7"/>
      <c r="F110" s="7"/>
      <c r="G110" s="15"/>
    </row>
    <row r="111" spans="2:7" x14ac:dyDescent="0.25">
      <c r="B111" s="10"/>
      <c r="C111" s="7"/>
      <c r="D111" s="7"/>
      <c r="E111" s="7"/>
      <c r="F111" s="7"/>
      <c r="G111" s="15"/>
    </row>
    <row r="112" spans="2:7" x14ac:dyDescent="0.25">
      <c r="B112" s="10"/>
      <c r="C112" s="7"/>
      <c r="D112" s="7"/>
      <c r="E112" s="7"/>
      <c r="F112" s="7"/>
      <c r="G112" s="15"/>
    </row>
    <row r="113" spans="2:7" x14ac:dyDescent="0.25">
      <c r="B113" s="10"/>
      <c r="C113" s="7"/>
      <c r="D113" s="7"/>
      <c r="E113" s="7"/>
      <c r="F113" s="7"/>
      <c r="G113" s="15"/>
    </row>
    <row r="114" spans="2:7" x14ac:dyDescent="0.25">
      <c r="B114" s="10"/>
      <c r="C114" s="7"/>
      <c r="D114" s="7"/>
      <c r="E114" s="7"/>
      <c r="F114" s="7"/>
      <c r="G114" s="15"/>
    </row>
    <row r="115" spans="2:7" x14ac:dyDescent="0.25">
      <c r="B115" s="10"/>
      <c r="C115" s="7"/>
      <c r="D115" s="7"/>
      <c r="E115" s="7"/>
      <c r="F115" s="7"/>
      <c r="G115" s="15"/>
    </row>
    <row r="116" spans="2:7" x14ac:dyDescent="0.25">
      <c r="B116" s="10"/>
      <c r="C116" s="7"/>
      <c r="D116" s="7"/>
      <c r="E116" s="7"/>
      <c r="F116" s="7"/>
      <c r="G116" s="15"/>
    </row>
    <row r="117" spans="2:7" x14ac:dyDescent="0.25">
      <c r="B117" s="10"/>
      <c r="C117" s="7"/>
      <c r="D117" s="7"/>
      <c r="E117" s="7"/>
      <c r="F117" s="7"/>
      <c r="G117" s="15"/>
    </row>
    <row r="118" spans="2:7" x14ac:dyDescent="0.25">
      <c r="B118" s="10"/>
      <c r="C118" s="7"/>
      <c r="D118" s="7"/>
      <c r="E118" s="7"/>
      <c r="F118" s="7"/>
      <c r="G118" s="15"/>
    </row>
    <row r="119" spans="2:7" x14ac:dyDescent="0.25">
      <c r="B119" s="10"/>
      <c r="C119" s="7"/>
      <c r="D119" s="7"/>
      <c r="E119" s="7"/>
      <c r="F119" s="7"/>
      <c r="G119" s="15"/>
    </row>
    <row r="120" spans="2:7" x14ac:dyDescent="0.25">
      <c r="B120" s="10"/>
      <c r="C120" s="7"/>
      <c r="D120" s="7"/>
      <c r="E120" s="7"/>
      <c r="F120" s="7"/>
      <c r="G120" s="15"/>
    </row>
    <row r="121" spans="2:7" x14ac:dyDescent="0.25">
      <c r="B121" s="10"/>
      <c r="C121" s="7"/>
      <c r="D121" s="7"/>
      <c r="E121" s="7"/>
      <c r="F121" s="7"/>
      <c r="G121" s="15"/>
    </row>
    <row r="122" spans="2:7" x14ac:dyDescent="0.25">
      <c r="B122" s="10"/>
      <c r="C122" s="7"/>
      <c r="D122" s="7"/>
      <c r="E122" s="7"/>
      <c r="F122" s="7"/>
      <c r="G122" s="15"/>
    </row>
    <row r="123" spans="2:7" x14ac:dyDescent="0.25">
      <c r="B123" s="10"/>
      <c r="C123" s="7"/>
      <c r="D123" s="7"/>
      <c r="E123" s="7"/>
      <c r="F123" s="7"/>
      <c r="G123" s="15"/>
    </row>
    <row r="124" spans="2:7" x14ac:dyDescent="0.25">
      <c r="B124" s="10"/>
      <c r="C124" s="7"/>
      <c r="D124" s="7"/>
      <c r="E124" s="7"/>
      <c r="F124" s="7"/>
      <c r="G124" s="15"/>
    </row>
    <row r="125" spans="2:7" x14ac:dyDescent="0.25">
      <c r="B125" s="10"/>
      <c r="C125" s="7"/>
      <c r="D125" s="7"/>
      <c r="E125" s="7"/>
      <c r="F125" s="7"/>
      <c r="G125" s="15"/>
    </row>
    <row r="126" spans="2:7" x14ac:dyDescent="0.25">
      <c r="B126" s="10"/>
      <c r="C126" s="7"/>
      <c r="D126" s="7"/>
      <c r="E126" s="7"/>
      <c r="F126" s="7"/>
      <c r="G126" s="15"/>
    </row>
    <row r="127" spans="2:7" x14ac:dyDescent="0.25">
      <c r="B127" s="10"/>
      <c r="C127" s="7"/>
      <c r="D127" s="7"/>
      <c r="E127" s="7"/>
      <c r="F127" s="7"/>
      <c r="G127" s="15"/>
    </row>
  </sheetData>
  <sheetProtection sheet="1" objects="1" scenarios="1" autoFilter="0"/>
  <conditionalFormatting sqref="G27:G127">
    <cfRule type="expression" dxfId="35" priority="1">
      <formula>AND(INDIRECT("_" &amp; SUBSTITUTE($C$2,"-","_") &amp; "\Transactions[@Category]") = "Savings", INDIRECT("_" &amp; SUBSTITUTE($C$2,"-","_") &amp; "\Transactions[@Type]") = "Debit")</formula>
    </cfRule>
    <cfRule type="expression" dxfId="34" priority="2">
      <formula>AND(INDIRECT("_" &amp; SUBSTITUTE($C$2,"-","_") &amp; "\Transactions[@Category]") &lt;&gt; "Savings", INDIRECT("_" &amp; SUBSTITUTE($C$2,"-","_") &amp; "\Transactions[@Type]") = "Credit")</formula>
    </cfRule>
  </conditionalFormatting>
  <dataValidations count="5">
    <dataValidation type="list" allowBlank="1" showInputMessage="1" showErrorMessage="1" sqref="J27:J40" xr:uid="{8C6A63F9-E7A0-4616-AF18-F2A63CE94F9F}">
      <formula1>"Spending,Reserve,Savings,Loan,Safety Net,Retirement"</formula1>
    </dataValidation>
    <dataValidation type="list" allowBlank="1" showInputMessage="1" showErrorMessage="1" sqref="E27:E127" xr:uid="{B1F921C3-6287-4DF3-AEAE-B44947242691}">
      <formula1>INDIRECT("_" &amp; SUBSTITUTE($C$2,"-","_") &amp; "\Budgets[Name]")</formula1>
    </dataValidation>
    <dataValidation type="list" showInputMessage="1" showErrorMessage="1" sqref="G20" xr:uid="{76DD81BF-E87B-406C-8853-271ECF9FE883}">
      <formula1>"Rolling,Fixed,Saving"</formula1>
    </dataValidation>
    <dataValidation type="list" showInputMessage="1" showErrorMessage="1" sqref="G6:G19" xr:uid="{399F41C4-2839-4158-A2F8-49B0956CBFE5}">
      <formula1>"Rolling,Fixed"</formula1>
    </dataValidation>
    <dataValidation type="list" allowBlank="1" showInputMessage="1" showErrorMessage="1" sqref="F27:F127" xr:uid="{E09FC30A-BA4E-4936-B2BA-EA7B554CCA4F}">
      <formula1>"Credit,Debit"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2023-05</vt:lpstr>
      <vt:lpstr>2023-04</vt:lpstr>
      <vt:lpstr>2023-03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Forche</dc:creator>
  <cp:lastModifiedBy>Andy Forche</cp:lastModifiedBy>
  <dcterms:created xsi:type="dcterms:W3CDTF">2022-12-14T00:19:02Z</dcterms:created>
  <dcterms:modified xsi:type="dcterms:W3CDTF">2023-05-10T22:58:58Z</dcterms:modified>
</cp:coreProperties>
</file>