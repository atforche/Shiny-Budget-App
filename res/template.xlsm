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989a1127fd583f/Desktop/Budget_Shiny_App/res/"/>
    </mc:Choice>
  </mc:AlternateContent>
  <xr:revisionPtr revIDLastSave="1102" documentId="8_{6B2AEAB5-0713-41DC-816E-175B1CC07033}" xr6:coauthVersionLast="47" xr6:coauthVersionMax="47" xr10:uidLastSave="{B74A1B02-8AF4-4BFA-97DE-63C601F57C72}"/>
  <bookViews>
    <workbookView xWindow="-120" yWindow="-120" windowWidth="38640" windowHeight="21120" xr2:uid="{4A682B92-E955-49E4-9CBC-FB857D42C240}"/>
  </bookViews>
  <sheets>
    <sheet name="Template" sheetId="3" r:id="rId1"/>
    <sheet name="2023-05" sheetId="14" r:id="rId2"/>
    <sheet name="2023-04" sheetId="13" r:id="rId3"/>
    <sheet name="2023-03" sheetId="12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4" l="1"/>
  <c r="I9" i="14"/>
  <c r="I10" i="14"/>
  <c r="I11" i="14"/>
  <c r="I12" i="14"/>
  <c r="I14" i="14"/>
  <c r="I16" i="14"/>
  <c r="I20" i="14"/>
  <c r="I21" i="14"/>
  <c r="I22" i="14"/>
  <c r="C2" i="14" a="1"/>
  <c r="C2" i="14" s="1"/>
  <c r="I22" i="13"/>
  <c r="I21" i="13"/>
  <c r="I20" i="13"/>
  <c r="I16" i="13"/>
  <c r="I14" i="13"/>
  <c r="I12" i="13"/>
  <c r="I11" i="13"/>
  <c r="I10" i="13"/>
  <c r="I9" i="13"/>
  <c r="I7" i="13"/>
  <c r="C2" i="13" a="1"/>
  <c r="C2" i="13" s="1"/>
  <c r="I22" i="12"/>
  <c r="I21" i="12"/>
  <c r="I20" i="12"/>
  <c r="I16" i="12"/>
  <c r="I14" i="12"/>
  <c r="I12" i="12"/>
  <c r="I11" i="12"/>
  <c r="I10" i="12"/>
  <c r="I9" i="12"/>
  <c r="I7" i="12"/>
  <c r="C2" i="12" a="1"/>
  <c r="C2" i="12" s="1"/>
  <c r="I22" i="3"/>
  <c r="I21" i="3"/>
  <c r="C2" i="3" a="1"/>
  <c r="C2" i="3" s="1"/>
  <c r="I20" i="3"/>
  <c r="I7" i="3"/>
  <c r="I9" i="3"/>
  <c r="I10" i="3"/>
  <c r="I11" i="3"/>
  <c r="I12" i="3"/>
  <c r="I14" i="3"/>
  <c r="I16" i="3"/>
  <c r="L21" i="12"/>
  <c r="C21" i="3"/>
  <c r="C21" i="14"/>
  <c r="C21" i="13"/>
  <c r="E2" i="3" l="1"/>
  <c r="E2" i="14"/>
  <c r="C8" i="14"/>
  <c r="E2" i="13"/>
  <c r="C8" i="13"/>
  <c r="C8" i="12"/>
  <c r="C9" i="12" s="1"/>
  <c r="C8" i="3"/>
  <c r="E2" i="12"/>
  <c r="L6" i="13"/>
  <c r="K22" i="13"/>
  <c r="L21" i="13"/>
  <c r="C12" i="13"/>
  <c r="L11" i="14"/>
  <c r="K15" i="13"/>
  <c r="L15" i="3"/>
  <c r="L20" i="14"/>
  <c r="K15" i="14"/>
  <c r="C13" i="13"/>
  <c r="L9" i="13"/>
  <c r="L16" i="14"/>
  <c r="L21" i="14"/>
  <c r="L11" i="12"/>
  <c r="K10" i="3"/>
  <c r="L17" i="12"/>
  <c r="K22" i="3"/>
  <c r="K17" i="14"/>
  <c r="L7" i="12"/>
  <c r="L15" i="13"/>
  <c r="K20" i="14"/>
  <c r="K13" i="12"/>
  <c r="K18" i="3"/>
  <c r="K12" i="13"/>
  <c r="L13" i="13"/>
  <c r="L8" i="14"/>
  <c r="L20" i="12"/>
  <c r="L13" i="3"/>
  <c r="L14" i="14"/>
  <c r="C19" i="12"/>
  <c r="L16" i="3"/>
  <c r="C13" i="12"/>
  <c r="L19" i="12"/>
  <c r="K6" i="13"/>
  <c r="L12" i="12"/>
  <c r="K7" i="13"/>
  <c r="K14" i="3"/>
  <c r="L18" i="3"/>
  <c r="L14" i="3"/>
  <c r="K10" i="14"/>
  <c r="C13" i="14"/>
  <c r="L6" i="14"/>
  <c r="K21" i="13"/>
  <c r="L12" i="14"/>
  <c r="L19" i="3"/>
  <c r="L19" i="14"/>
  <c r="K7" i="3"/>
  <c r="C11" i="14" a="1"/>
  <c r="K20" i="12"/>
  <c r="L6" i="12"/>
  <c r="C12" i="3"/>
  <c r="K19" i="13"/>
  <c r="K9" i="13"/>
  <c r="K6" i="3"/>
  <c r="K20" i="3"/>
  <c r="L13" i="14"/>
  <c r="K8" i="13"/>
  <c r="L10" i="13"/>
  <c r="C16" i="3"/>
  <c r="K9" i="12"/>
  <c r="C19" i="3"/>
  <c r="K14" i="14"/>
  <c r="L6" i="3"/>
  <c r="L7" i="13"/>
  <c r="K16" i="14"/>
  <c r="C19" i="13"/>
  <c r="K22" i="14"/>
  <c r="L20" i="13"/>
  <c r="L12" i="13"/>
  <c r="C11" i="3" a="1"/>
  <c r="C16" i="13"/>
  <c r="C16" i="14"/>
  <c r="L14" i="13"/>
  <c r="L13" i="12"/>
  <c r="K15" i="12"/>
  <c r="L17" i="3"/>
  <c r="C11" i="13" a="1"/>
  <c r="K17" i="13"/>
  <c r="L18" i="14"/>
  <c r="C21" i="12"/>
  <c r="K18" i="14"/>
  <c r="L20" i="3"/>
  <c r="K16" i="13"/>
  <c r="L17" i="14"/>
  <c r="K18" i="12"/>
  <c r="K11" i="14"/>
  <c r="K9" i="3"/>
  <c r="K21" i="12"/>
  <c r="L9" i="12"/>
  <c r="L16" i="12"/>
  <c r="K21" i="14"/>
  <c r="K8" i="3"/>
  <c r="K13" i="13"/>
  <c r="K19" i="14"/>
  <c r="K22" i="12"/>
  <c r="L7" i="3"/>
  <c r="C19" i="14"/>
  <c r="K21" i="3"/>
  <c r="L14" i="12"/>
  <c r="C12" i="12"/>
  <c r="L21" i="3"/>
  <c r="C16" i="12"/>
  <c r="L22" i="14"/>
  <c r="K11" i="13"/>
  <c r="K10" i="13"/>
  <c r="L19" i="13"/>
  <c r="L10" i="12"/>
  <c r="K12" i="3"/>
  <c r="K16" i="12"/>
  <c r="L11" i="3"/>
  <c r="C13" i="3"/>
  <c r="K19" i="3"/>
  <c r="K7" i="12"/>
  <c r="K17" i="3"/>
  <c r="L8" i="3"/>
  <c r="L22" i="13"/>
  <c r="L9" i="3"/>
  <c r="L12" i="3"/>
  <c r="K16" i="3"/>
  <c r="L8" i="12"/>
  <c r="K11" i="12"/>
  <c r="L22" i="3"/>
  <c r="L16" i="13"/>
  <c r="K8" i="12"/>
  <c r="L17" i="13"/>
  <c r="K20" i="13"/>
  <c r="L7" i="14"/>
  <c r="K6" i="14"/>
  <c r="K19" i="12"/>
  <c r="K18" i="13"/>
  <c r="K10" i="12"/>
  <c r="K15" i="3"/>
  <c r="L10" i="14"/>
  <c r="C12" i="14"/>
  <c r="K9" i="14"/>
  <c r="C11" i="12" a="1"/>
  <c r="L8" i="13"/>
  <c r="K17" i="12"/>
  <c r="L15" i="12"/>
  <c r="K12" i="14"/>
  <c r="K11" i="3"/>
  <c r="K8" i="14"/>
  <c r="K13" i="3"/>
  <c r="L11" i="13"/>
  <c r="K14" i="13"/>
  <c r="K7" i="14"/>
  <c r="L15" i="14"/>
  <c r="L22" i="12"/>
  <c r="K12" i="12"/>
  <c r="K14" i="12"/>
  <c r="L10" i="3"/>
  <c r="K6" i="12"/>
  <c r="L18" i="12"/>
  <c r="L18" i="13"/>
  <c r="L9" i="14"/>
  <c r="K13" i="14"/>
  <c r="M11" i="3" l="1"/>
  <c r="M16" i="3"/>
  <c r="M12" i="3"/>
  <c r="M21" i="3"/>
  <c r="M9" i="3"/>
  <c r="M20" i="3"/>
  <c r="M7" i="3"/>
  <c r="M14" i="3"/>
  <c r="M22" i="3"/>
  <c r="M10" i="3"/>
  <c r="C22" i="12"/>
  <c r="C11" i="12"/>
  <c r="C14" i="12" s="1"/>
  <c r="C20" i="12"/>
  <c r="C20" i="13"/>
  <c r="C22" i="13"/>
  <c r="C11" i="13"/>
  <c r="C22" i="14"/>
  <c r="C20" i="14"/>
  <c r="C11" i="14"/>
  <c r="C22" i="3"/>
  <c r="C20" i="3"/>
  <c r="C11" i="3"/>
  <c r="C14" i="3" s="1"/>
  <c r="M22" i="12"/>
  <c r="M20" i="14"/>
  <c r="M21" i="14"/>
  <c r="M22" i="14"/>
  <c r="M21" i="12"/>
  <c r="M20" i="12"/>
  <c r="M9" i="12"/>
  <c r="M11" i="12"/>
  <c r="M7" i="12"/>
  <c r="M10" i="12"/>
  <c r="M12" i="12"/>
  <c r="M14" i="12"/>
  <c r="M16" i="12"/>
  <c r="M9" i="13"/>
  <c r="M10" i="13"/>
  <c r="M12" i="13"/>
  <c r="M14" i="13"/>
  <c r="M11" i="13"/>
  <c r="M7" i="13"/>
  <c r="M21" i="13"/>
  <c r="M20" i="13"/>
  <c r="M16" i="13"/>
  <c r="M22" i="13"/>
  <c r="C9" i="13"/>
  <c r="M11" i="14"/>
  <c r="M14" i="14"/>
  <c r="M7" i="14"/>
  <c r="M10" i="14"/>
  <c r="M12" i="14"/>
  <c r="M9" i="14"/>
  <c r="M16" i="14"/>
  <c r="C9" i="14"/>
  <c r="C9" i="3"/>
  <c r="I15" i="3"/>
  <c r="I17" i="3"/>
  <c r="I13" i="3"/>
  <c r="I8" i="3"/>
  <c r="I6" i="3"/>
  <c r="I19" i="3"/>
  <c r="I18" i="3"/>
  <c r="M18" i="3" l="1"/>
  <c r="M19" i="3"/>
  <c r="M6" i="3"/>
  <c r="M8" i="3"/>
  <c r="M13" i="3"/>
  <c r="M17" i="3"/>
  <c r="M15" i="3"/>
  <c r="C14" i="13"/>
  <c r="C14" i="14"/>
  <c r="C17" i="12"/>
  <c r="C17" i="13"/>
  <c r="C17" i="14"/>
  <c r="C17" i="3"/>
  <c r="I19" i="12"/>
  <c r="M19" i="12" l="1"/>
  <c r="I18" i="12"/>
  <c r="I19" i="13"/>
  <c r="M18" i="12" l="1"/>
  <c r="M19" i="13"/>
  <c r="I19" i="14"/>
  <c r="I18" i="13"/>
  <c r="M18" i="13" l="1"/>
  <c r="M19" i="14"/>
  <c r="I17" i="12"/>
  <c r="I13" i="12"/>
  <c r="I18" i="14"/>
  <c r="I8" i="12"/>
  <c r="I6" i="12"/>
  <c r="I15" i="12"/>
  <c r="M17" i="12" l="1"/>
  <c r="M13" i="12"/>
  <c r="M6" i="12"/>
  <c r="M15" i="12"/>
  <c r="M8" i="12"/>
  <c r="M18" i="14"/>
  <c r="I15" i="13"/>
  <c r="I6" i="13"/>
  <c r="I17" i="13"/>
  <c r="I8" i="13"/>
  <c r="I13" i="13"/>
  <c r="M8" i="13" l="1"/>
  <c r="M15" i="13"/>
  <c r="M13" i="13"/>
  <c r="M17" i="13"/>
  <c r="M6" i="13"/>
  <c r="I13" i="14"/>
  <c r="I15" i="14"/>
  <c r="I17" i="14"/>
  <c r="I8" i="14"/>
  <c r="I6" i="14"/>
  <c r="M17" i="14" l="1"/>
  <c r="M6" i="14"/>
  <c r="M13" i="14"/>
  <c r="M15" i="14"/>
  <c r="M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<sst xmlns="http://schemas.openxmlformats.org/spreadsheetml/2006/main" count="252" uniqueCount="42">
  <si>
    <t>Budgets</t>
  </si>
  <si>
    <t>Type</t>
  </si>
  <si>
    <t>Amount</t>
  </si>
  <si>
    <t>Rollover From Last Month</t>
  </si>
  <si>
    <t>Remaining Budget</t>
  </si>
  <si>
    <t>Name</t>
  </si>
  <si>
    <t>Income</t>
  </si>
  <si>
    <t>Expected Retirement Contributions:</t>
  </si>
  <si>
    <t>Expected Taxes:</t>
  </si>
  <si>
    <t>Expected Gross Income (Andy):</t>
  </si>
  <si>
    <t>Expected Gross Income (Sara):</t>
  </si>
  <si>
    <t>Expected Net Income:</t>
  </si>
  <si>
    <t>Rolling</t>
  </si>
  <si>
    <t>Fixed</t>
  </si>
  <si>
    <t>Override Rollover Amount</t>
  </si>
  <si>
    <t>Total Unbudgeted Amount: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</si>
  <si>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</si>
  <si>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</si>
  <si>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</si>
  <si>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</si>
  <si>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</si>
  <si>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</si>
  <si>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</si>
  <si>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Total Savings:</t>
  </si>
  <si>
    <t>Saving</t>
  </si>
  <si>
    <t>First Monday</t>
  </si>
  <si>
    <t>Second Monday</t>
  </si>
  <si>
    <t>Third Monday</t>
  </si>
  <si>
    <t>Fourth Monday</t>
  </si>
  <si>
    <t>Fifth Monday</t>
  </si>
  <si>
    <t>Account Balances</t>
  </si>
  <si>
    <t>Source</t>
  </si>
  <si>
    <t>Actual Net Income:</t>
  </si>
  <si>
    <t>Total Budgeted Amount:</t>
  </si>
  <si>
    <t>Income vs. Budgeted Income</t>
  </si>
  <si>
    <t>Total Debits</t>
  </si>
  <si>
    <t>Total Credits</t>
  </si>
  <si>
    <t>Total Expenses:</t>
  </si>
  <si>
    <t>Total Spent:</t>
  </si>
  <si>
    <t>Total Expenses Remaining:</t>
  </si>
  <si>
    <t>Total Saved</t>
  </si>
  <si>
    <t>Total Savings Remaining: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</si>
</sst>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.00;[Red]&quot;$&quot;#,##0.00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8" fontId="0" fillId="0" borderId="0" xfId="0" applyNumberFormat="1"/>
    <xf numFmtId="164" fontId="0" fillId="0" borderId="0" xfId="0" applyNumberFormat="1"/>
    <xf numFmtId="6" fontId="0" fillId="2" borderId="1" xfId="0" applyNumberFormat="1" applyFill="1" applyBorder="1" applyProtection="1">
      <protection locked="0"/>
    </xf>
    <xf numFmtId="8" fontId="0" fillId="2" borderId="1" xfId="0" applyNumberFormat="1" applyFill="1" applyBorder="1" applyProtection="1">
      <protection locked="0"/>
    </xf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right" readingOrder="2"/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Alignment="1" applyProtection="1">
      <alignment horizontal="right" readingOrder="2"/>
      <protection locked="0"/>
    </xf>
    <xf numFmtId="165" fontId="0" fillId="2" borderId="1" xfId="0" applyNumberFormat="1" applyFill="1" applyBorder="1" applyProtection="1">
      <protection locked="0"/>
    </xf>
    <xf numFmtId="165" fontId="0" fillId="2" borderId="1" xfId="0" applyNumberFormat="1" applyFill="1" applyBorder="1"/>
    <xf numFmtId="165" fontId="0" fillId="2" borderId="2" xfId="0" applyNumberFormat="1" applyFill="1" applyBorder="1" applyProtection="1">
      <protection locked="0"/>
    </xf>
    <xf numFmtId="165" fontId="0" fillId="2" borderId="2" xfId="0" applyNumberFormat="1" applyFill="1" applyBorder="1"/>
    <xf numFmtId="164" fontId="0" fillId="2" borderId="1" xfId="0" applyNumberFormat="1" applyFill="1" applyBorder="1"/>
    <xf numFmtId="164" fontId="0" fillId="2" borderId="2" xfId="0" applyNumberFormat="1" applyFill="1" applyBorder="1"/>
  </cellXfs>
  <cellStyles count="1">
    <cellStyle name="Normal" xfId="0" builtinId="0"/>
  </cellStyles>
  <dxfs count="145"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B050"/>
      </font>
    </dxf>
    <dxf>
      <font>
        <color rgb="FFFF000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93C61E-5182-4571-996F-3C4DB6F2B5F2}" name="Budgets" displayName="Budgets" ref="F5:M22" totalsRowShown="0" headerRowDxfId="142" dataDxfId="141">
  <autoFilter ref="F5:M22" xr:uid="{6993C61E-5182-4571-996F-3C4DB6F2B5F2}"/>
  <tableColumns count="8">
    <tableColumn id="1" xr3:uid="{8943831D-1C8A-4F5D-95A8-EE7179B852B1}" name="Name" dataDxfId="140"/>
    <tableColumn id="2" xr3:uid="{8EBB0CEA-3CCB-48FA-8C94-F03740950DA2}" name="Type" dataDxfId="139"/>
    <tableColumn id="3" xr3:uid="{6BEBBCAF-0D99-480F-9DE9-8E043AF8AF3C}" name="Amount" dataDxfId="138"/>
    <tableColumn id="4" xr3:uid="{F1FD9DEF-4445-48CA-9469-93E5ADCCDCAB}" name="Rollover From Last Month" dataDxfId="137">
      <calculatedColumnFormula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calculatedColumnFormula>
    </tableColumn>
    <tableColumn id="6" xr3:uid="{06111B8D-9029-40EA-B393-7BAE5E067C2B}" name="Override Rollover Amount" dataDxfId="136"/>
    <tableColumn id="7" xr3:uid="{7DE8C972-5781-4A01-B47E-78C17C12E8FD}" name="Total Debits" dataDxfId="135">
      <calculatedColumnFormula>SUMIFS(INDIRECT("_" &amp; SUBSTITUTE($C$2,"-","_") &amp; "\Transactions[Amount]"), INDIRECT("_" &amp; SUBSTITUTE($C$2,"-","_") &amp; "\Transactions[Category]"),Budgets[[#This Row],[Name]], INDIRECT("_" &amp; SUBSTITUTE($C$2,"-","_") &amp; "\Transactions[Type]"),"Debit")</calculatedColumnFormula>
    </tableColumn>
    <tableColumn id="9" xr3:uid="{4F0C5657-A788-4225-9CF6-66B823B5FEAC}" name="Total Credits" dataDxfId="134">
      <calculatedColumnFormula>SUMIFS(INDIRECT("_" &amp; SUBSTITUTE($C$2,"-","_") &amp; "\Transactions[Amount]"), INDIRECT("_" &amp; SUBSTITUTE($C$2,"-","_") &amp; "\Transactions[Category]"),Budgets[[#This Row],[Name]], INDIRECT("_" &amp; SUBSTITUTE($C$2,"-","_") &amp; "\Transactions[Type]"),"Credit")</calculatedColumnFormula>
    </tableColumn>
    <tableColumn id="5" xr3:uid="{73D71772-A557-47D7-8718-7840CFBB3361}" name="Remaining Budget" dataDxfId="0">
      <calculatedColumnFormula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46B62F-7A14-4839-B25C-76E755827075}" name="Transactions" displayName="Transactions" ref="B26:G127" totalsRowShown="0" headerRowDxfId="133" dataDxfId="132">
  <autoFilter ref="B26:G127" xr:uid="{EC46B62F-7A14-4839-B25C-76E755827075}"/>
  <tableColumns count="6">
    <tableColumn id="1" xr3:uid="{06D0FCB0-9F81-4C87-AE67-25A0AAAFC736}" name="Date" dataDxfId="131"/>
    <tableColumn id="2" xr3:uid="{7B3C4D0E-6BF2-4ACC-902F-3EC67A595EB9}" name="Location" dataDxfId="130"/>
    <tableColumn id="3" xr3:uid="{3071BBE3-D6F5-495A-8460-69164F3C6E5E}" name="Description" dataDxfId="129"/>
    <tableColumn id="4" xr3:uid="{12BC5B33-B050-41FE-9857-1FDD4D5CA5B8}" name="Category" dataDxfId="128"/>
    <tableColumn id="6" xr3:uid="{0A944B7C-E686-4EFC-9620-641508AB6BD6}" name="Type" dataDxfId="127"/>
    <tableColumn id="5" xr3:uid="{D28580DE-D537-4F3A-93E5-5A533130ABF7}" name="Amount" dataDxfId="1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74A6B0-EF6A-4DFE-B7B5-17DAD41163E3}" name="Balances" displayName="Balances" ref="I26:O40" totalsRowShown="0" headerRowDxfId="125" dataDxfId="124" tableBorderDxfId="123">
  <autoFilter ref="I26:O40" xr:uid="{9874A6B0-EF6A-4DFE-B7B5-17DAD41163E3}"/>
  <tableColumns count="7">
    <tableColumn id="1" xr3:uid="{0F34E78D-CA6E-4DAA-BB0F-01CD6E82F1E5}" name="Name" dataDxfId="122"/>
    <tableColumn id="2" xr3:uid="{E6DAD4BD-0CF1-47D2-98DD-C3350A04E12E}" name="Category" dataDxfId="121"/>
    <tableColumn id="3" xr3:uid="{79AAE9B0-0736-463D-AD5C-8CF2E6D1FB35}" name="First Monday" dataDxfId="120"/>
    <tableColumn id="4" xr3:uid="{179D70A1-AF28-4A04-93A2-84B7FD6759A9}" name="Second Monday" dataDxfId="119"/>
    <tableColumn id="5" xr3:uid="{693250E7-F87C-4272-BD87-EA860FC9FE39}" name="Third Monday" dataDxfId="118"/>
    <tableColumn id="6" xr3:uid="{BA101F32-3EBA-44D6-9045-20E101B08CFA}" name="Fourth Monday" dataDxfId="117"/>
    <tableColumn id="7" xr3:uid="{4EB50702-9A76-4A93-8985-0C42CAF6E4C5}" name="Fifth Monday" dataDxfId="1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EC8C2F-5549-4B3F-927C-B3465789AE2F}" name="Income" displayName="Income" ref="I43:K52" totalsRowShown="0" headerRowDxfId="115" dataDxfId="114" tableBorderDxfId="113">
  <autoFilter ref="I43:K52" xr:uid="{CBEC8C2F-5549-4B3F-927C-B3465789AE2F}"/>
  <tableColumns count="3">
    <tableColumn id="1" xr3:uid="{30CAAF0F-9BF8-4DBC-8A62-1E290A68A673}" name="Date" dataDxfId="112"/>
    <tableColumn id="2" xr3:uid="{08B5E387-3FFD-4111-A4B2-FA5434138B61}" name="Source" dataDxfId="111"/>
    <tableColumn id="3" xr3:uid="{29100732-F178-42AE-889C-5B75B5E0B398}" name="Amount" dataDxfId="11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F57F239-0864-4FBE-B9E0-6BD19A16F691}" name="2023-05\Budgets" displayName="_2023_05\Budgets" ref="F5:M22" totalsRowShown="0" headerRowDxfId="106" dataDxfId="105">
  <autoFilter ref="F5:M22" xr:uid="{6993C61E-5182-4571-996F-3C4DB6F2B5F2}"/>
  <tableColumns count="8">
    <tableColumn id="1" xr3:uid="{D1B96BAC-0CDA-4BB3-A162-CB070C2940CC}" name="Name" dataDxfId="104"/>
    <tableColumn id="2" xr3:uid="{58625047-7E63-40BD-82E7-BE275EDBDA02}" name="Type" dataDxfId="103"/>
    <tableColumn id="3" xr3:uid="{797F371A-D2F9-4620-805A-B61F2B78F0B3}" name="Amount" dataDxfId="102"/>
    <tableColumn id="4" xr3:uid="{976FB6EF-284E-4615-BD2A-5970EA7B5D61}" name="Rollover From Last Month" dataDxfId="101">
      <calculatedColumnFormula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calculatedColumnFormula>
    </tableColumn>
    <tableColumn id="6" xr3:uid="{6D2C9583-CA10-4FB5-AED7-7D5C91310114}" name="Override Rollover Amount" dataDxfId="100"/>
    <tableColumn id="7" xr3:uid="{DA687157-A82B-48D6-9FAC-D02300CE0182}" name="Total Debits" dataDxfId="99">
      <calculatedColumnFormula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calculatedColumnFormula>
    </tableColumn>
    <tableColumn id="8" xr3:uid="{774B0D59-AEA4-4192-AB62-7925FAF0D448}" name="Total Credits" dataDxfId="98">
      <calculatedColumnFormula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calculatedColumnFormula>
    </tableColumn>
    <tableColumn id="5" xr3:uid="{024F6037-DD6B-4B5F-86CA-4E724F1C93E0}" name="Remaining Budget" dataDxfId="97">
      <calculatedColumnFormula>_2023_05\Budgets[[#This Row],[Amount]]+IF(NOT(_2023_05\Budgets[[#This Row],[Rollover From Last Month]]=""),_2023_05\Budgets[[#This Row],[Rollover From Last Month]],0)-_2023_05\Budgets[[#This Row],[Total Debits]]+_2023_05\Budgets[[#This Row],[Total Credits]]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C5279A9-2E5F-4414-B6F5-73373D611456}" name="2023-05\Transactions" displayName="_2023_05\Transactions" ref="B26:G127" totalsRowShown="0" headerRowDxfId="96" dataDxfId="95">
  <autoFilter ref="B26:G127" xr:uid="{EC46B62F-7A14-4839-B25C-76E755827075}"/>
  <tableColumns count="6">
    <tableColumn id="1" xr3:uid="{55463874-15FA-4D2D-BFAE-114E2B4F8161}" name="Date" dataDxfId="94"/>
    <tableColumn id="2" xr3:uid="{03E7714C-83D6-476C-870A-6D3D546E0CBA}" name="Location" dataDxfId="93"/>
    <tableColumn id="3" xr3:uid="{D98ADED1-5D6A-44AB-8476-24AF71075C0A}" name="Description" dataDxfId="92"/>
    <tableColumn id="4" xr3:uid="{BE94DADF-C42B-4A56-83C5-EFC80DD4C1D5}" name="Category" dataDxfId="91"/>
    <tableColumn id="6" xr3:uid="{2CD4E06C-A5AB-441D-BE06-FA3F8170B885}" name="Type" dataDxfId="90"/>
    <tableColumn id="5" xr3:uid="{4B0DDDFB-9384-4CD3-B311-A85A8A797E74}" name="Amount" dataDxfId="8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CC902B9-3B84-4289-81F2-56C7F25BC773}" name="2023-05\Balances" displayName="_2023_05\Balances" ref="I26:O40" totalsRowShown="0" headerRowDxfId="88" dataDxfId="87" tableBorderDxfId="86">
  <autoFilter ref="I26:O40" xr:uid="{9874A6B0-EF6A-4DFE-B7B5-17DAD41163E3}"/>
  <tableColumns count="7">
    <tableColumn id="1" xr3:uid="{AD4E1CA2-AD47-4A8D-AFD3-2E8984CDCA9A}" name="Name" dataDxfId="85"/>
    <tableColumn id="2" xr3:uid="{074D6F20-F8E9-46D4-849E-C57D85C0D31F}" name="Category" dataDxfId="84"/>
    <tableColumn id="3" xr3:uid="{71F9066D-EED3-4D73-96C6-91CDC7883306}" name="First Monday" dataDxfId="83"/>
    <tableColumn id="4" xr3:uid="{1B8022D6-35BE-4BC2-AA6C-C90152C8DCEE}" name="Second Monday" dataDxfId="82"/>
    <tableColumn id="5" xr3:uid="{A2443AD2-AB79-4FFC-9EF0-1CDD1882C940}" name="Third Monday" dataDxfId="81"/>
    <tableColumn id="6" xr3:uid="{5E3B4788-936A-4AC8-9B34-9764E10393A2}" name="Fourth Monday" dataDxfId="80"/>
    <tableColumn id="7" xr3:uid="{5BD11ED3-7782-4B73-A450-3362CD40105E}" name="Fifth Monday" dataDxfId="7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E5C0745-23A1-47BB-BEDD-5C4F0EB5AF6D}" name="2023-05\Income" displayName="_2023_05\Income" ref="I43:K52" totalsRowShown="0" headerRowDxfId="78" dataDxfId="77" tableBorderDxfId="76">
  <autoFilter ref="I43:K52" xr:uid="{CBEC8C2F-5549-4B3F-927C-B3465789AE2F}"/>
  <tableColumns count="3">
    <tableColumn id="1" xr3:uid="{BF87456E-AA5F-4FDC-8E7C-C6FBAEC42543}" name="Date" dataDxfId="75"/>
    <tableColumn id="2" xr3:uid="{C92A5D21-1BD7-4EB7-80C1-7A3DA1039966}" name="Source" dataDxfId="74"/>
    <tableColumn id="3" xr3:uid="{C31C4768-BACB-4FB1-8641-086A5BFC0F84}" name="Amount" dataDxfId="7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851D61-BC30-48C2-A1E3-73934B3C0356}" name="2023-04\Budgets" displayName="_2023_04\Budgets" ref="F5:M22" totalsRowShown="0" headerRowDxfId="70" dataDxfId="69">
  <autoFilter ref="F5:M22" xr:uid="{6993C61E-5182-4571-996F-3C4DB6F2B5F2}"/>
  <tableColumns count="8">
    <tableColumn id="1" xr3:uid="{4BD2E577-13F3-4FA5-91D8-62EA57C5A382}" name="Name" dataDxfId="68"/>
    <tableColumn id="2" xr3:uid="{B3574E52-53FE-4C8C-AF82-838A7E3934F9}" name="Type" dataDxfId="67"/>
    <tableColumn id="3" xr3:uid="{998D3EB4-5B13-4AB1-AB6E-525ED13F46B4}" name="Amount" dataDxfId="66"/>
    <tableColumn id="4" xr3:uid="{599BDAF1-CF90-4AF0-9070-963BC4943E11}" name="Rollover From Last Month" dataDxfId="65">
      <calculatedColumnFormula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calculatedColumnFormula>
    </tableColumn>
    <tableColumn id="6" xr3:uid="{D3851B2D-4CCD-4526-8882-352152531F7F}" name="Override Rollover Amount" dataDxfId="64"/>
    <tableColumn id="7" xr3:uid="{F70E1DAA-347D-4509-A1B6-8A7AF53539D3}" name="Total Debits" dataDxfId="63">
      <calculatedColumnFormula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calculatedColumnFormula>
    </tableColumn>
    <tableColumn id="8" xr3:uid="{97F5A23B-BAA8-4B56-A2EA-0C4CE28DE064}" name="Total Credits" dataDxfId="62">
      <calculatedColumnFormula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calculatedColumnFormula>
    </tableColumn>
    <tableColumn id="5" xr3:uid="{676141BD-3D39-4AC7-9482-F4CFA26DB4E8}" name="Remaining Budget" dataDxfId="61">
      <calculatedColumnFormula>_2023_04\Budgets[[#This Row],[Amount]]+IF(NOT(_2023_04\Budgets[[#This Row],[Rollover From Last Month]]=""),_2023_04\Budgets[[#This Row],[Rollover From Last Month]],0)-_2023_04\Budgets[[#This Row],[Total Debits]]+_2023_04\Budgets[[#This Row],[Total Credits]]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34D2697-516B-491F-BA64-F64A3956FF17}" name="2023-04\Transactions" displayName="_2023_04\Transactions" ref="B26:G127" totalsRowShown="0" headerRowDxfId="60" dataDxfId="59">
  <autoFilter ref="B26:G127" xr:uid="{EC46B62F-7A14-4839-B25C-76E755827075}"/>
  <tableColumns count="6">
    <tableColumn id="1" xr3:uid="{6C13214F-615A-40EF-B931-79A55E24D921}" name="Date" dataDxfId="58"/>
    <tableColumn id="2" xr3:uid="{C345F8A0-E3F4-484B-8279-4A4FE90718B5}" name="Location" dataDxfId="57"/>
    <tableColumn id="3" xr3:uid="{A35BB77C-B093-4BF4-ABB8-FE1AEF507593}" name="Description" dataDxfId="56"/>
    <tableColumn id="4" xr3:uid="{2F02311A-8A87-43E3-B95F-64603C33AE44}" name="Category" dataDxfId="55"/>
    <tableColumn id="6" xr3:uid="{FD3CD958-B679-4232-9C64-A06AB3F8A0CE}" name="Type" dataDxfId="54"/>
    <tableColumn id="5" xr3:uid="{48739F31-3FAC-45BD-B2E2-6C3D55B9F840}" name="Amount" dataDxfId="5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FF173D8-D84E-4D52-B329-96DD40EF92D9}" name="2023-04\Balances" displayName="_2023_04\Balances" ref="I26:O40" totalsRowShown="0" headerRowDxfId="52" dataDxfId="51" tableBorderDxfId="50">
  <autoFilter ref="I26:O40" xr:uid="{9874A6B0-EF6A-4DFE-B7B5-17DAD41163E3}"/>
  <tableColumns count="7">
    <tableColumn id="1" xr3:uid="{7C0DDD05-ACBB-4F34-BE77-BD964DEB7A69}" name="Name" dataDxfId="49"/>
    <tableColumn id="2" xr3:uid="{6EF6B829-20C5-4983-9F9D-477A8F9379A7}" name="Category" dataDxfId="48"/>
    <tableColumn id="3" xr3:uid="{97B06771-F421-4C49-A137-55329DF0DCF7}" name="First Monday" dataDxfId="47"/>
    <tableColumn id="4" xr3:uid="{37C72279-1542-4C71-A97B-27107054756F}" name="Second Monday" dataDxfId="46"/>
    <tableColumn id="5" xr3:uid="{BC051C9F-A0CD-408F-8E41-FE7C55F504E3}" name="Third Monday" dataDxfId="45"/>
    <tableColumn id="6" xr3:uid="{A79FDDDA-DFC6-4132-B78C-2F97D797D02F}" name="Fourth Monday" dataDxfId="44"/>
    <tableColumn id="7" xr3:uid="{DEB994C6-8FD5-43DE-9EB7-A1121219CBD1}" name="Fifth Monday" dataDxfId="4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E5EBE3B-C846-4632-860F-FD6CDC03F009}" name="2023-04\Income" displayName="_2023_04\Income" ref="I43:K52" totalsRowShown="0" headerRowDxfId="42" dataDxfId="41" tableBorderDxfId="40">
  <autoFilter ref="I43:K52" xr:uid="{CBEC8C2F-5549-4B3F-927C-B3465789AE2F}"/>
  <tableColumns count="3">
    <tableColumn id="1" xr3:uid="{4026FA30-E0E0-4B20-A8FF-E0C74948C600}" name="Date" dataDxfId="39"/>
    <tableColumn id="2" xr3:uid="{2BE58E31-6EAF-4984-B709-839E63502CCA}" name="Source" dataDxfId="38"/>
    <tableColumn id="3" xr3:uid="{4B4797BD-E438-4747-97D3-5D4D22251357}" name="Amount" dataDxfId="37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9F29A30-339E-4C89-94E6-F28E929DCABC}" name="2023-03\Budgets" displayName="_2023_03\Budgets" ref="F5:M22" totalsRowShown="0" headerRowDxfId="34" dataDxfId="33">
  <autoFilter ref="F5:M22" xr:uid="{6993C61E-5182-4571-996F-3C4DB6F2B5F2}"/>
  <tableColumns count="8">
    <tableColumn id="1" xr3:uid="{4FBBC8DE-8B9A-47F5-977D-EDB8D2DD895A}" name="Name" dataDxfId="32"/>
    <tableColumn id="2" xr3:uid="{B564BCD5-DE58-48E4-B347-544D552F66E6}" name="Type" dataDxfId="31"/>
    <tableColumn id="3" xr3:uid="{E45D6021-0DF3-4D61-8849-C550C4A081C7}" name="Amount" dataDxfId="30"/>
    <tableColumn id="4" xr3:uid="{B147F65E-A35D-4B98-96A0-1E4265C8986C}" name="Rollover From Last Month" dataDxfId="29">
      <calculatedColumnFormula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calculatedColumnFormula>
    </tableColumn>
    <tableColumn id="6" xr3:uid="{2626091E-8CCF-4FAA-A1E4-9254D512CA36}" name="Override Rollover Amount" dataDxfId="28"/>
    <tableColumn id="7" xr3:uid="{E2C87B5E-2922-4E50-8F42-12A5F2FF79CC}" name="Total Debits" dataDxfId="27">
      <calculatedColumnFormula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calculatedColumnFormula>
    </tableColumn>
    <tableColumn id="8" xr3:uid="{75F14E48-7C47-4D54-91F3-DC9450236D94}" name="Total Credits" dataDxfId="26">
      <calculatedColumnFormula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calculatedColumnFormula>
    </tableColumn>
    <tableColumn id="5" xr3:uid="{DEA1DE60-5A1E-4B8A-84D4-6415B1D2089E}" name="Remaining Budget" dataDxfId="25">
      <calculatedColumnFormula>_2023_03\Budgets[[#This Row],[Amount]]+IF(NOT(_2023_03\Budgets[[#This Row],[Rollover From Last Month]]=""),_2023_03\Budgets[[#This Row],[Rollover From Last Month]],0)-_2023_03\Budgets[[#This Row],[Total Debits]]+_2023_03\Budgets[[#This Row],[Total Credits]]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CF57EE-DA7A-499B-A990-5FF22F5C75B1}" name="2023-03\Transactions" displayName="_2023_03\Transactions" ref="B26:G127" totalsRowShown="0" headerRowDxfId="24" dataDxfId="23">
  <autoFilter ref="B26:G127" xr:uid="{EC46B62F-7A14-4839-B25C-76E755827075}"/>
  <tableColumns count="6">
    <tableColumn id="1" xr3:uid="{55C7B87E-3775-45E4-9DE9-8989B7DB7342}" name="Date" dataDxfId="22"/>
    <tableColumn id="2" xr3:uid="{DCF23C61-540F-4903-AF64-95E880AC3161}" name="Location" dataDxfId="21"/>
    <tableColumn id="3" xr3:uid="{EEA6BACB-8251-486C-A2B3-D442942889FF}" name="Description" dataDxfId="20"/>
    <tableColumn id="4" xr3:uid="{DFF9622C-AF99-4F4F-AFB4-54698BAF7E6B}" name="Category" dataDxfId="19"/>
    <tableColumn id="6" xr3:uid="{3367804D-81B9-43E8-BE56-AA2A29F410A1}" name="Type" dataDxfId="18"/>
    <tableColumn id="5" xr3:uid="{30599581-525D-44D2-BA74-B7FA4226D932}" name="Amount" dataDxfId="17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20740E7-DA86-4C87-80B0-92626E523A8E}" name="2023-03\Balances" displayName="_2023_03\Balances" ref="I26:O40" totalsRowShown="0" headerRowDxfId="16" dataDxfId="15" tableBorderDxfId="14">
  <autoFilter ref="I26:O40" xr:uid="{9874A6B0-EF6A-4DFE-B7B5-17DAD41163E3}"/>
  <tableColumns count="7">
    <tableColumn id="1" xr3:uid="{EA9F087E-3F47-4BC6-B3A7-4B79A8D6BEE9}" name="Name" dataDxfId="13"/>
    <tableColumn id="2" xr3:uid="{CFC5E1B2-055C-416A-8FA8-CE6F2DA03769}" name="Category" dataDxfId="12"/>
    <tableColumn id="3" xr3:uid="{737D22E0-E2E6-45EA-B350-80EE4D7CBC04}" name="First Monday" dataDxfId="11"/>
    <tableColumn id="4" xr3:uid="{4DC1F7D8-ED6F-4400-B6BD-0BF0C9C209A6}" name="Second Monday" dataDxfId="10"/>
    <tableColumn id="5" xr3:uid="{F895A308-3A07-4997-BC8D-74160CE8F603}" name="Third Monday" dataDxfId="9"/>
    <tableColumn id="6" xr3:uid="{D687C234-8D77-484C-AD08-47E04BF33F66}" name="Fourth Monday" dataDxfId="8"/>
    <tableColumn id="7" xr3:uid="{2911D8FD-9013-4401-A7DF-232D1CEE8C68}" name="Fifth Monday" dataDxfId="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D3CEAC3-7CC1-4011-9DAE-576CEF2A062F}" name="2023-03\Income" displayName="_2023_03\Income" ref="I43:K52" totalsRowShown="0" headerRowDxfId="6" dataDxfId="5" tableBorderDxfId="4">
  <autoFilter ref="I43:K52" xr:uid="{CBEC8C2F-5549-4B3F-927C-B3465789AE2F}"/>
  <tableColumns count="3">
    <tableColumn id="1" xr3:uid="{9D5ECC7F-2DFC-43D4-852B-E5F7AE5A4B2B}" name="Date" dataDxfId="3"/>
    <tableColumn id="2" xr3:uid="{676CF049-9CF6-4E33-BB1F-A133821ABDBC}" name="Source" dataDxfId="2"/>
    <tableColumn id="3" xr3:uid="{DC6CACF8-07C1-413E-9EB6-4FD73172A990}" name="Amount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07B6B-F54A-4F18-8C3A-6C11576F0F64}">
  <sheetPr codeName="Sheet2"/>
  <dimension ref="B2:O127"/>
  <sheetViews>
    <sheetView tabSelected="1" workbookViewId="0">
      <selection activeCell="G12" sqref="G12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18.285156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Template</v>
      </c>
      <c r="D2" s="1" t="s">
        <v>22</v>
      </c>
      <c r="E2" t="e">
        <f ca="1">_xlfn.CONCAT(IF(RIGHT(C2,2)="01", VALUE(LEFT(C2,4))-1, LEFT(C2,4)), "-", IF(RIGHT(C2,2)="01","12",TEXT(VALUE(RIGHT(C2,2))-1,"00")))</f>
        <v>#VALUE!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6" s="8"/>
      <c r="K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6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7" s="8"/>
      <c r="K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7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8" s="8"/>
      <c r="K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8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9" s="8"/>
      <c r="K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9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0" spans="2:13" x14ac:dyDescent="0.25">
      <c r="F10" s="7"/>
      <c r="G10" s="7" t="s">
        <v>13</v>
      </c>
      <c r="H10" s="8"/>
      <c r="I10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0" s="8"/>
      <c r="K1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0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1" spans="2:13" x14ac:dyDescent="0.25">
      <c r="B11" s="1" t="s">
        <v>33</v>
      </c>
      <c r="C11" s="4" t="e" cm="1">
        <f t="array" aca="1" ref="C11" ca="1">SUM(ABS(INDIRECT("_" &amp; SUBSTITUTE($C$2,"-","_") &amp; "\Budgets[Amount]")))</f>
        <v>#REF!</v>
      </c>
      <c r="F11" s="7"/>
      <c r="G11" s="7" t="s">
        <v>13</v>
      </c>
      <c r="H11" s="8"/>
      <c r="I11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1" s="8"/>
      <c r="K11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1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1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2" spans="2:13" x14ac:dyDescent="0.25">
      <c r="B12" s="1" t="s">
        <v>37</v>
      </c>
      <c r="C12" s="4" t="e">
        <f ca="1">SUMIF(INDIRECT("_" &amp; SUBSTITUTE($C$2,"-","_") &amp; "\Budgets[Type]"), "&lt;&gt;Saving", INDIRECT("_" &amp; SUBSTITUTE($C$2,"-","_") &amp; "\Budgets[Amount]"))</f>
        <v>#REF!</v>
      </c>
      <c r="F12" s="7"/>
      <c r="G12" s="7" t="s">
        <v>13</v>
      </c>
      <c r="H12" s="8"/>
      <c r="I12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2" s="8"/>
      <c r="K1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2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3" spans="2:13" x14ac:dyDescent="0.25">
      <c r="B13" s="1" t="s">
        <v>23</v>
      </c>
      <c r="C13" s="4" t="e">
        <f ca="1">ABS(SUMIF(INDIRECT("_" &amp; SUBSTITUTE($C$2,"-","_") &amp; "\Budgets[Type]"), "Saving", INDIRECT("_" &amp; SUBSTITUTE($C$2,"-","_") &amp; "\Budgets[Amount]")))</f>
        <v>#REF!</v>
      </c>
      <c r="F13" s="7"/>
      <c r="G13" s="7" t="s">
        <v>12</v>
      </c>
      <c r="H13" s="8"/>
      <c r="I13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3" s="8"/>
      <c r="K13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3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3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14" spans="2:13" x14ac:dyDescent="0.25">
      <c r="B14" s="1" t="s">
        <v>15</v>
      </c>
      <c r="C14" s="4" t="e">
        <f ca="1">C9-C11</f>
        <v>#REF!</v>
      </c>
      <c r="F14" s="7"/>
      <c r="G14" s="7" t="s">
        <v>13</v>
      </c>
      <c r="H14" s="8"/>
      <c r="I14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4" s="8"/>
      <c r="K14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4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4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5" spans="2:13" x14ac:dyDescent="0.25">
      <c r="C15" s="4"/>
      <c r="F15" s="7"/>
      <c r="G15" s="7" t="s">
        <v>12</v>
      </c>
      <c r="H15" s="8"/>
      <c r="I15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5" s="8"/>
      <c r="K15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5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5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16" spans="2:13" x14ac:dyDescent="0.25">
      <c r="B16" s="1" t="s">
        <v>32</v>
      </c>
      <c r="C16" s="4" t="e">
        <f ca="1">SUM(INDIRECT("_" &amp; SUBSTITUTE($C$2,"-","_") &amp; "\Income[Amount]"))</f>
        <v>#REF!</v>
      </c>
      <c r="F16" s="7"/>
      <c r="G16" s="7" t="s">
        <v>13</v>
      </c>
      <c r="H16" s="8"/>
      <c r="I16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6" s="8"/>
      <c r="K1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6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17" spans="2:15" x14ac:dyDescent="0.25">
      <c r="B17" s="1" t="s">
        <v>34</v>
      </c>
      <c r="C17" s="4" t="e">
        <f ca="1">C16-C11</f>
        <v>#REF!</v>
      </c>
      <c r="F17" s="7"/>
      <c r="G17" s="7" t="s">
        <v>12</v>
      </c>
      <c r="H17" s="8"/>
      <c r="I17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7" s="8"/>
      <c r="K1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7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18" spans="2:15" x14ac:dyDescent="0.25">
      <c r="C18" s="4"/>
      <c r="F18" s="7"/>
      <c r="G18" s="7" t="s">
        <v>12</v>
      </c>
      <c r="H18" s="8"/>
      <c r="I18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8" s="8"/>
      <c r="K1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8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19" spans="2:15" x14ac:dyDescent="0.25">
      <c r="B19" s="1" t="s">
        <v>38</v>
      </c>
      <c r="C19" s="4" t="e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#REF!</v>
      </c>
      <c r="F19" s="7"/>
      <c r="G19" s="7" t="s">
        <v>12</v>
      </c>
      <c r="H19" s="8"/>
      <c r="I19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9" s="8"/>
      <c r="K1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9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#VALUE!</v>
      </c>
    </row>
    <row r="20" spans="2:15" x14ac:dyDescent="0.25">
      <c r="B20" s="1" t="s">
        <v>39</v>
      </c>
      <c r="C20" s="4" t="e">
        <f ca="1">C12-C19</f>
        <v>#REF!</v>
      </c>
      <c r="F20" s="7"/>
      <c r="G20" s="7" t="s">
        <v>24</v>
      </c>
      <c r="H20" s="8"/>
      <c r="I20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0" s="8"/>
      <c r="K2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0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21" spans="2:15" x14ac:dyDescent="0.25">
      <c r="B21" s="1" t="s">
        <v>40</v>
      </c>
      <c r="C21" s="4" t="e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#REF!</v>
      </c>
      <c r="F21" s="11"/>
      <c r="G21" s="11" t="s">
        <v>13</v>
      </c>
      <c r="H21" s="13"/>
      <c r="I21" s="14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1" s="13"/>
      <c r="K21" s="18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1" s="18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1" s="20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22" spans="2:15" x14ac:dyDescent="0.25">
      <c r="B22" s="1" t="s">
        <v>41</v>
      </c>
      <c r="C22" s="4" t="e">
        <f ca="1">C21-C13</f>
        <v>#REF!</v>
      </c>
      <c r="F22" s="7"/>
      <c r="G22" s="7" t="s">
        <v>13</v>
      </c>
      <c r="H22" s="8"/>
      <c r="I22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2" s="8"/>
      <c r="K2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2" s="19" t="e">
        <f ca="1">IF(Budgets[[#This Row],[Type]]&lt;&gt;"Saving", Budgets[[#This Row],[Amount]]+IF(NOT(Budgets[[#This Row],[Rollover From Last Month]]=""),Budgets[[#This Row],[Rollover From Last Month]],0)-Budgets[[#This Row],[Total Debits]]+Budgets[[#This Row],[Total Credits]], Budgets[[#This Row],[Amount]]+IF(NOT(Budgets[[#This Row],[Rollover From Last Month]]=""),Budgets[[#This Row],[Rollover From Last Month]],0)+Budgets[[#This Row],[Total Debits]]-Budgets[[#This Row],[Total Credits]])</f>
        <v>#REF!</v>
      </c>
    </row>
    <row r="23" spans="2:15" x14ac:dyDescent="0.25">
      <c r="B23" s="1"/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autoFilter="0"/>
  <conditionalFormatting sqref="G27:G127">
    <cfRule type="expression" dxfId="144" priority="1">
      <formula>AND(INDIRECT("_" &amp; SUBSTITUTE($C$2,"-","_") &amp; "\Transactions[@Category]") &lt;&gt; "Savings", INDIRECT("_" &amp; SUBSTITUTE($C$2,"-","_") &amp; "\Transactions[@Type]") = "Credit")</formula>
    </cfRule>
    <cfRule type="expression" dxfId="143" priority="2">
      <formula>AND(INDIRECT("_" &amp; SUBSTITUTE($C$2,"-","_") &amp; "\Transactions[@Category]") = "Savings", INDIRECT("_" &amp; SUBSTITUTE($C$2,"-","_") &amp; "\Transactions[@Type]") = "Debit")</formula>
    </cfRule>
  </conditionalFormatting>
  <dataValidations count="5">
    <dataValidation type="list" showInputMessage="1" showErrorMessage="1" sqref="G6:G19" xr:uid="{A5A8AC4E-6E64-4EC6-9292-46C49FE1C24C}">
      <formula1>"Rolling,Fixed"</formula1>
    </dataValidation>
    <dataValidation type="list" showInputMessage="1" showErrorMessage="1" sqref="G20" xr:uid="{D0980A88-C1DA-4657-85DC-603FB5C0AC53}">
      <formula1>"Rolling,Fixed,Saving"</formula1>
    </dataValidation>
    <dataValidation type="list" allowBlank="1" showInputMessage="1" showErrorMessage="1" sqref="E27:E127" xr:uid="{83C6A7DC-733D-462A-A213-5BD1644CFC7B}">
      <formula1>INDIRECT("_" &amp; SUBSTITUTE($C$2,"-","_") &amp; "\Budgets[Name]")</formula1>
    </dataValidation>
    <dataValidation type="list" allowBlank="1" showInputMessage="1" showErrorMessage="1" sqref="J27:J40" xr:uid="{7B010E57-67ED-4069-A52A-0FFF2A549FD2}">
      <formula1>"Spending,Reserve,Savings,Loan,Safety Net,Retirement"</formula1>
    </dataValidation>
    <dataValidation type="list" allowBlank="1" showInputMessage="1" showErrorMessage="1" sqref="F27:F127" xr:uid="{4755C800-D315-431C-9B70-FC51EFB67C08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DE87-74F0-408E-8A82-475710BC9E9E}">
  <sheetPr codeName="Sheet10"/>
  <dimension ref="B2:O127"/>
  <sheetViews>
    <sheetView zoomScaleNormal="100" workbookViewId="0">
      <selection activeCell="C11" sqref="C11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18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21.285156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2023-05</v>
      </c>
      <c r="D2" s="1" t="s">
        <v>22</v>
      </c>
      <c r="E2" t="str">
        <f ca="1">_xlfn.CONCAT(IF(RIGHT(C2,2)="01", VALUE(LEFT(C2,4))-1, LEFT(C2,4)), "-", IF(RIGHT(C2,2)="01","12",TEXT(VALUE(RIGHT(C2,2))-1,"00")))</f>
        <v>2023-04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6" s="15"/>
      <c r="K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6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7" s="15"/>
      <c r="K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7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8" s="15"/>
      <c r="K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8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9" s="15"/>
      <c r="K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9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0" s="15"/>
      <c r="K1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0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1" s="15"/>
      <c r="K11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1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2" s="15"/>
      <c r="K1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2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3" s="15"/>
      <c r="K13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3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4" s="15"/>
      <c r="K14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4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5" s="15"/>
      <c r="K15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5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6" s="15"/>
      <c r="K1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6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7" s="15"/>
      <c r="K1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7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8" spans="2:15" x14ac:dyDescent="0.25">
      <c r="C18" s="4"/>
      <c r="F18" s="7"/>
      <c r="G18" s="7" t="s">
        <v>12</v>
      </c>
      <c r="H18" s="8"/>
      <c r="I18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8" s="15"/>
      <c r="K1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8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9" s="15"/>
      <c r="K1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9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0" s="15"/>
      <c r="K2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0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1" s="17"/>
      <c r="K21" s="18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1" s="20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2" s="15"/>
      <c r="K2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2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D14">
    <cfRule type="expression" dxfId="109" priority="10">
      <formula>AND(INDIRECT("_" &amp; SUBSTITUTE($C$2,"-","_") &amp; "\Transactions[@Category]") = "Savings", INDIRECT("_" &amp; SUBSTITUTE($C$2,"-","_") &amp; "\Transactions[@Amount]") &lt; 0)</formula>
    </cfRule>
  </conditionalFormatting>
  <conditionalFormatting sqref="G27:G127">
    <cfRule type="expression" dxfId="108" priority="2">
      <formula>AND(INDIRECT("_" &amp; SUBSTITUTE($C$2,"-","_") &amp; "\Transactions[@Category]") &lt;&gt; "Savings", INDIRECT("_" &amp; SUBSTITUTE($C$2,"-","_") &amp; "\Transactions[@Type]") = "Credit")</formula>
    </cfRule>
    <cfRule type="expression" dxfId="107" priority="3">
      <formula>AND(INDIRECT("_" &amp; SUBSTITUTE($C$2,"-","_") &amp; "\Transactions[@Category]") = "Savings", INDIRECT("_" &amp; SUBSTITUTE($C$2,"-","_") &amp; "\Transactions[@Type]") = "Debit")</formula>
    </cfRule>
  </conditionalFormatting>
  <dataValidations disablePrompts="1" count="5">
    <dataValidation type="list" allowBlank="1" showInputMessage="1" showErrorMessage="1" sqref="J27:J40" xr:uid="{216D3DBF-A68D-4B85-B073-3DD9AEC5F106}">
      <formula1>"Spending,Reserve,Savings,Loan,Safety Net,Retirement"</formula1>
    </dataValidation>
    <dataValidation type="list" allowBlank="1" showInputMessage="1" showErrorMessage="1" sqref="E27:E127" xr:uid="{9BC2A822-C6F2-4F9C-9C89-0FCB513BB096}">
      <formula1>INDIRECT("_" &amp; SUBSTITUTE($C$2,"-","_") &amp; "\Budgets[Name]")</formula1>
    </dataValidation>
    <dataValidation type="list" showInputMessage="1" showErrorMessage="1" sqref="G20" xr:uid="{C0DA7FEB-15A2-46F2-985A-8000317DA40F}">
      <formula1>"Rolling,Fixed,Saving"</formula1>
    </dataValidation>
    <dataValidation type="list" showInputMessage="1" showErrorMessage="1" sqref="G6:G19" xr:uid="{E84D65BC-D937-442E-AF7B-8789CD7C11E3}">
      <formula1>"Rolling,Fixed"</formula1>
    </dataValidation>
    <dataValidation type="list" allowBlank="1" showInputMessage="1" showErrorMessage="1" sqref="F27:F127" xr:uid="{945655D2-E418-4216-BAA1-8FD4F4FBE777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D6AB8-041D-4A7A-901E-81261DF5FE07}">
  <sheetPr codeName="Sheet9"/>
  <dimension ref="B2:O127"/>
  <sheetViews>
    <sheetView workbookViewId="0">
      <selection activeCell="H6" sqref="H6:H22"/>
    </sheetView>
  </sheetViews>
  <sheetFormatPr defaultRowHeight="15" x14ac:dyDescent="0.25"/>
  <cols>
    <col min="1" max="1" width="9.7109375" customWidth="1"/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23.8554687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2023-04</v>
      </c>
      <c r="D2" s="1" t="s">
        <v>22</v>
      </c>
      <c r="E2" t="str">
        <f ca="1">_xlfn.CONCAT(IF(RIGHT(C2,2)="01", VALUE(LEFT(C2,4))-1, LEFT(C2,4)), "-", IF(RIGHT(C2,2)="01","12",TEXT(VALUE(RIGHT(C2,2))-1,"00")))</f>
        <v>2023-03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6" s="8"/>
      <c r="K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6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7" s="8"/>
      <c r="K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7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8" s="8"/>
      <c r="K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8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9" s="8"/>
      <c r="K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9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0" s="8"/>
      <c r="K1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0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1" s="8"/>
      <c r="K11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1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2" s="8"/>
      <c r="K1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2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3" s="8"/>
      <c r="K13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3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4" s="8"/>
      <c r="K14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4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5" s="8"/>
      <c r="K15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5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6" s="8"/>
      <c r="K1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6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7" s="8"/>
      <c r="K1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7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8" spans="2:15" x14ac:dyDescent="0.25">
      <c r="C18" s="4"/>
      <c r="F18" s="7"/>
      <c r="G18" s="7" t="s">
        <v>12</v>
      </c>
      <c r="H18" s="8"/>
      <c r="I18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8" s="8"/>
      <c r="K1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8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9" s="8"/>
      <c r="K1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9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0" s="8"/>
      <c r="K2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0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1" s="13"/>
      <c r="K21" s="18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1" s="20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2" s="8"/>
      <c r="K2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2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G27:G127">
    <cfRule type="expression" dxfId="72" priority="1">
      <formula>AND(INDIRECT("_" &amp; SUBSTITUTE($C$2,"-","_") &amp; "\Transactions[@Category]") &lt;&gt; "Savings", INDIRECT("_" &amp; SUBSTITUTE($C$2,"-","_") &amp; "\Transactions[@Type]") = "Credit")</formula>
    </cfRule>
    <cfRule type="expression" dxfId="71" priority="2">
      <formula>AND(INDIRECT("_" &amp; SUBSTITUTE($C$2,"-","_") &amp; "\Transactions[@Category]") = "Savings", INDIRECT("_" &amp; SUBSTITUTE($C$2,"-","_") &amp; "\Transactions[@Type]") = "Debit")</formula>
    </cfRule>
  </conditionalFormatting>
  <dataValidations disablePrompts="1" count="5">
    <dataValidation type="list" allowBlank="1" showInputMessage="1" showErrorMessage="1" sqref="J27:J40" xr:uid="{FAC269E6-0E45-4C89-85A1-6583756A7138}">
      <formula1>"Spending,Reserve,Savings,Loan,Safety Net,Retirement"</formula1>
    </dataValidation>
    <dataValidation type="list" allowBlank="1" showInputMessage="1" showErrorMessage="1" sqref="E27:E127" xr:uid="{379BBF25-6578-4BC3-B674-DAD9B47E1D1E}">
      <formula1>INDIRECT("_" &amp; SUBSTITUTE($C$2,"-","_") &amp; "\Budgets[Name]")</formula1>
    </dataValidation>
    <dataValidation type="list" showInputMessage="1" showErrorMessage="1" sqref="G20" xr:uid="{D893DC83-B0AA-4A96-BE10-F059BF4E6522}">
      <formula1>"Rolling,Fixed,Saving"</formula1>
    </dataValidation>
    <dataValidation type="list" showInputMessage="1" showErrorMessage="1" sqref="G6:G19" xr:uid="{FEB44F6F-F56A-423A-B8F9-B4C7D2DFAFEF}">
      <formula1>"Rolling,Fixed"</formula1>
    </dataValidation>
    <dataValidation type="list" allowBlank="1" showInputMessage="1" showErrorMessage="1" sqref="F27:F127" xr:uid="{F709DF2D-3EA6-4B08-8B55-9726FA8021F8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FF60-ACB4-4EEA-8DDA-6528DCF83EF0}">
  <sheetPr codeName="Sheet8"/>
  <dimension ref="B2:O127"/>
  <sheetViews>
    <sheetView workbookViewId="0">
      <selection activeCell="M6" sqref="M6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18.425781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2023-03</v>
      </c>
      <c r="D2" s="1" t="s">
        <v>22</v>
      </c>
      <c r="E2" t="str">
        <f ca="1">_xlfn.CONCAT(IF(RIGHT(C2,2)="01", VALUE(LEFT(C2,4))-1, LEFT(C2,4)), "-", IF(RIGHT(C2,2)="01","12",TEXT(VALUE(RIGHT(C2,2))-1,"00")))</f>
        <v>2023-02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6" s="8"/>
      <c r="K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6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7" s="8"/>
      <c r="K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7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8" s="8"/>
      <c r="K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8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9" s="8"/>
      <c r="K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9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0" s="8"/>
      <c r="K1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0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1" s="8"/>
      <c r="K11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1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2" s="8"/>
      <c r="K1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2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3" s="8"/>
      <c r="K13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3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4" s="8"/>
      <c r="K14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4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5" s="8"/>
      <c r="K15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5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6" s="8"/>
      <c r="K1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6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7" s="8"/>
      <c r="K1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7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8" spans="2:15" x14ac:dyDescent="0.25">
      <c r="C18" s="4"/>
      <c r="F18" s="7"/>
      <c r="G18" s="7" t="s">
        <v>12</v>
      </c>
      <c r="H18" s="8"/>
      <c r="I18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8" s="8"/>
      <c r="K1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8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9" s="8"/>
      <c r="K1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9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0" s="8"/>
      <c r="K2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0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1" s="13"/>
      <c r="K21" s="18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1" s="20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2" s="8"/>
      <c r="K2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2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G27:G127">
    <cfRule type="expression" dxfId="36" priority="1">
      <formula>AND(INDIRECT("_" &amp; SUBSTITUTE($C$2,"-","_") &amp; "\Transactions[@Category]") = "Savings", INDIRECT("_" &amp; SUBSTITUTE($C$2,"-","_") &amp; "\Transactions[@Type]") = "Debit")</formula>
    </cfRule>
    <cfRule type="expression" dxfId="35" priority="2">
      <formula>AND(INDIRECT("_" &amp; SUBSTITUTE($C$2,"-","_") &amp; "\Transactions[@Category]") &lt;&gt; "Savings", INDIRECT("_" &amp; SUBSTITUTE($C$2,"-","_") &amp; "\Transactions[@Type]") = "Credit")</formula>
    </cfRule>
  </conditionalFormatting>
  <dataValidations count="5">
    <dataValidation type="list" allowBlank="1" showInputMessage="1" showErrorMessage="1" sqref="J27:J40" xr:uid="{8C6A63F9-E7A0-4616-AF18-F2A63CE94F9F}">
      <formula1>"Spending,Reserve,Savings,Loan,Safety Net,Retirement"</formula1>
    </dataValidation>
    <dataValidation type="list" allowBlank="1" showInputMessage="1" showErrorMessage="1" sqref="E27:E127" xr:uid="{B1F921C3-6287-4DF3-AEAE-B44947242691}">
      <formula1>INDIRECT("_" &amp; SUBSTITUTE($C$2,"-","_") &amp; "\Budgets[Name]")</formula1>
    </dataValidation>
    <dataValidation type="list" showInputMessage="1" showErrorMessage="1" sqref="G20" xr:uid="{76DD81BF-E87B-406C-8853-271ECF9FE883}">
      <formula1>"Rolling,Fixed,Saving"</formula1>
    </dataValidation>
    <dataValidation type="list" showInputMessage="1" showErrorMessage="1" sqref="G6:G19" xr:uid="{399F41C4-2839-4158-A2F8-49B0956CBFE5}">
      <formula1>"Rolling,Fixed"</formula1>
    </dataValidation>
    <dataValidation type="list" allowBlank="1" showInputMessage="1" showErrorMessage="1" sqref="F27:F127" xr:uid="{E09FC30A-BA4E-4936-B2BA-EA7B554CCA4F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2023-05</vt:lpstr>
      <vt:lpstr>2023-04</vt:lpstr>
      <vt:lpstr>2023-03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2023-06-24T17:08:49Z</dcterms:modified>
</cp:coreProperties>
</file>