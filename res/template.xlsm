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 Projects\Shiny-Budget-App\res\"/>
    </mc:Choice>
  </mc:AlternateContent>
  <xr:revisionPtr revIDLastSave="0" documentId="13_ncr:1_{CFCAC131-B678-47E1-9595-DE45B37AF21A}" xr6:coauthVersionLast="47" xr6:coauthVersionMax="47" xr10:uidLastSave="{00000000-0000-0000-0000-000000000000}"/>
  <bookViews>
    <workbookView xWindow="-120" yWindow="-120" windowWidth="38640" windowHeight="21120" xr2:uid="{4A682B92-E955-49E4-9CBC-FB857D42C240}"/>
  </bookViews>
  <sheets>
    <sheet name="Template" sheetId="24" r:id="rId1"/>
    <sheet name="2023-08" sheetId="20" r:id="rId2"/>
    <sheet name="2023-07" sheetId="25" r:id="rId3"/>
    <sheet name="2023-06" sheetId="26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24" l="1"/>
  <c r="L9" i="24"/>
  <c r="L10" i="24"/>
  <c r="L11" i="24"/>
  <c r="L12" i="24"/>
  <c r="L14" i="24"/>
  <c r="L16" i="24"/>
  <c r="L20" i="24"/>
  <c r="L21" i="24"/>
  <c r="L22" i="24"/>
  <c r="L23" i="24"/>
  <c r="L7" i="20"/>
  <c r="L9" i="20"/>
  <c r="L10" i="20"/>
  <c r="L11" i="20"/>
  <c r="L12" i="20"/>
  <c r="L14" i="20"/>
  <c r="L16" i="20"/>
  <c r="L20" i="20"/>
  <c r="L21" i="20"/>
  <c r="L22" i="20"/>
  <c r="M49" i="26" l="1"/>
  <c r="P69" i="26"/>
  <c r="P68" i="26"/>
  <c r="P67" i="26"/>
  <c r="P66" i="26"/>
  <c r="P65" i="26"/>
  <c r="P64" i="26"/>
  <c r="P63" i="26"/>
  <c r="P62" i="26"/>
  <c r="P61" i="26"/>
  <c r="P57" i="26"/>
  <c r="O57" i="26"/>
  <c r="N57" i="26"/>
  <c r="M57" i="26"/>
  <c r="L57" i="26"/>
  <c r="K57" i="26"/>
  <c r="P56" i="26"/>
  <c r="O56" i="26"/>
  <c r="N56" i="26"/>
  <c r="M56" i="26"/>
  <c r="L56" i="26"/>
  <c r="K56" i="26"/>
  <c r="P55" i="26"/>
  <c r="O55" i="26"/>
  <c r="N55" i="26"/>
  <c r="M55" i="26"/>
  <c r="L55" i="26"/>
  <c r="K55" i="26"/>
  <c r="P54" i="26"/>
  <c r="O54" i="26"/>
  <c r="N54" i="26"/>
  <c r="M54" i="26"/>
  <c r="L54" i="26"/>
  <c r="K54" i="26"/>
  <c r="P53" i="26"/>
  <c r="O53" i="26"/>
  <c r="N53" i="26"/>
  <c r="M53" i="26"/>
  <c r="L53" i="26"/>
  <c r="K53" i="26"/>
  <c r="P52" i="26"/>
  <c r="O52" i="26"/>
  <c r="N52" i="26"/>
  <c r="M52" i="26"/>
  <c r="L52" i="26"/>
  <c r="K52" i="26"/>
  <c r="P51" i="26"/>
  <c r="O51" i="26"/>
  <c r="N51" i="26"/>
  <c r="M51" i="26"/>
  <c r="L51" i="26"/>
  <c r="K51" i="26"/>
  <c r="N50" i="26"/>
  <c r="M50" i="26"/>
  <c r="K50" i="26"/>
  <c r="K49" i="26"/>
  <c r="N49" i="26"/>
  <c r="L22" i="26"/>
  <c r="L21" i="26"/>
  <c r="L20" i="26"/>
  <c r="L16" i="26"/>
  <c r="L14" i="26"/>
  <c r="L12" i="26"/>
  <c r="L11" i="26"/>
  <c r="L10" i="26"/>
  <c r="L9" i="26"/>
  <c r="L7" i="26"/>
  <c r="C2" i="26" a="1"/>
  <c r="C2" i="26" s="1"/>
  <c r="M49" i="25"/>
  <c r="P69" i="25"/>
  <c r="P68" i="25"/>
  <c r="P67" i="25"/>
  <c r="P66" i="25"/>
  <c r="P65" i="25"/>
  <c r="P64" i="25"/>
  <c r="P63" i="25"/>
  <c r="P62" i="25"/>
  <c r="P61" i="25"/>
  <c r="P57" i="25"/>
  <c r="O57" i="25"/>
  <c r="N57" i="25"/>
  <c r="M57" i="25"/>
  <c r="L57" i="25"/>
  <c r="K57" i="25"/>
  <c r="P56" i="25"/>
  <c r="O56" i="25"/>
  <c r="N56" i="25"/>
  <c r="M56" i="25"/>
  <c r="L56" i="25"/>
  <c r="K56" i="25"/>
  <c r="P55" i="25"/>
  <c r="O55" i="25"/>
  <c r="N55" i="25"/>
  <c r="M55" i="25"/>
  <c r="L55" i="25"/>
  <c r="K55" i="25"/>
  <c r="P54" i="25"/>
  <c r="O54" i="25"/>
  <c r="N54" i="25"/>
  <c r="M54" i="25"/>
  <c r="L54" i="25"/>
  <c r="K54" i="25"/>
  <c r="P53" i="25"/>
  <c r="O53" i="25"/>
  <c r="N53" i="25"/>
  <c r="M53" i="25"/>
  <c r="L53" i="25"/>
  <c r="K53" i="25"/>
  <c r="P52" i="25"/>
  <c r="O52" i="25"/>
  <c r="N52" i="25"/>
  <c r="M52" i="25"/>
  <c r="L52" i="25"/>
  <c r="K52" i="25"/>
  <c r="P51" i="25"/>
  <c r="O51" i="25"/>
  <c r="N51" i="25"/>
  <c r="M51" i="25"/>
  <c r="L51" i="25"/>
  <c r="K51" i="25"/>
  <c r="M50" i="25"/>
  <c r="K50" i="25"/>
  <c r="L50" i="25" s="1"/>
  <c r="N49" i="25"/>
  <c r="K49" i="25"/>
  <c r="L22" i="25"/>
  <c r="L21" i="25"/>
  <c r="L20" i="25"/>
  <c r="L16" i="25"/>
  <c r="L14" i="25"/>
  <c r="L12" i="25"/>
  <c r="L11" i="25"/>
  <c r="L10" i="25"/>
  <c r="L9" i="25"/>
  <c r="L7" i="25"/>
  <c r="C2" i="25" a="1"/>
  <c r="C2" i="25" s="1"/>
  <c r="L49" i="26" l="1"/>
  <c r="O49" i="26" s="1"/>
  <c r="P49" i="26" s="1"/>
  <c r="L50" i="26"/>
  <c r="E2" i="26"/>
  <c r="N50" i="25"/>
  <c r="L49" i="25"/>
  <c r="O49" i="25" s="1"/>
  <c r="E2" i="25"/>
  <c r="D5" i="26"/>
  <c r="N13" i="26"/>
  <c r="O16" i="25"/>
  <c r="O19" i="25"/>
  <c r="N15" i="26"/>
  <c r="C5" i="26"/>
  <c r="N7" i="25"/>
  <c r="N8" i="25"/>
  <c r="O17" i="25"/>
  <c r="N17" i="25"/>
  <c r="O13" i="26"/>
  <c r="O18" i="25"/>
  <c r="N18" i="26"/>
  <c r="O18" i="26"/>
  <c r="O21" i="26"/>
  <c r="N8" i="26"/>
  <c r="N21" i="26"/>
  <c r="N10" i="26"/>
  <c r="O11" i="25"/>
  <c r="N6" i="26"/>
  <c r="N9" i="26"/>
  <c r="N9" i="25"/>
  <c r="D8" i="26"/>
  <c r="N22" i="26"/>
  <c r="O12" i="25"/>
  <c r="O9" i="25"/>
  <c r="N11" i="26"/>
  <c r="C14" i="26"/>
  <c r="D9" i="26"/>
  <c r="C6" i="25"/>
  <c r="N16" i="26"/>
  <c r="N19" i="26"/>
  <c r="C7" i="26"/>
  <c r="N20" i="26"/>
  <c r="N7" i="26"/>
  <c r="D7" i="26"/>
  <c r="D5" i="25"/>
  <c r="N6" i="25"/>
  <c r="O11" i="26"/>
  <c r="N22" i="25"/>
  <c r="D6" i="26"/>
  <c r="O6" i="26"/>
  <c r="O13" i="25"/>
  <c r="N14" i="26"/>
  <c r="O12" i="26"/>
  <c r="O16" i="26"/>
  <c r="O14" i="25"/>
  <c r="C13" i="26"/>
  <c r="D8" i="25"/>
  <c r="N12" i="26"/>
  <c r="O9" i="26"/>
  <c r="O7" i="26"/>
  <c r="N11" i="25"/>
  <c r="O22" i="26"/>
  <c r="N15" i="25"/>
  <c r="O22" i="25"/>
  <c r="N13" i="25"/>
  <c r="D9" i="25"/>
  <c r="C8" i="26"/>
  <c r="N18" i="25"/>
  <c r="N16" i="25"/>
  <c r="O15" i="26"/>
  <c r="O10" i="26"/>
  <c r="C8" i="25"/>
  <c r="O6" i="25"/>
  <c r="O10" i="25"/>
  <c r="O21" i="25"/>
  <c r="C7" i="25"/>
  <c r="C5" i="25"/>
  <c r="D10" i="26"/>
  <c r="O19" i="26"/>
  <c r="N17" i="26"/>
  <c r="N19" i="25"/>
  <c r="N12" i="25"/>
  <c r="N20" i="25"/>
  <c r="O14" i="26"/>
  <c r="O20" i="26"/>
  <c r="D6" i="25"/>
  <c r="C6" i="26"/>
  <c r="O8" i="26"/>
  <c r="O17" i="26"/>
  <c r="O8" i="25"/>
  <c r="D7" i="25"/>
  <c r="N21" i="25"/>
  <c r="N10" i="25"/>
  <c r="O15" i="25"/>
  <c r="C14" i="25"/>
  <c r="O7" i="25"/>
  <c r="O20" i="25"/>
  <c r="C13" i="25"/>
  <c r="D10" i="25"/>
  <c r="N14" i="25"/>
  <c r="E8" i="25" l="1"/>
  <c r="C15" i="25"/>
  <c r="E7" i="25"/>
  <c r="E6" i="25"/>
  <c r="E5" i="25"/>
  <c r="C15" i="26"/>
  <c r="E7" i="26"/>
  <c r="E6" i="26"/>
  <c r="E8" i="26"/>
  <c r="E5" i="26"/>
  <c r="O50" i="26"/>
  <c r="P10" i="26"/>
  <c r="P12" i="26"/>
  <c r="P9" i="26"/>
  <c r="P21" i="26"/>
  <c r="P14" i="26"/>
  <c r="P11" i="26"/>
  <c r="P20" i="26"/>
  <c r="P16" i="26"/>
  <c r="P22" i="26"/>
  <c r="P7" i="26"/>
  <c r="O50" i="25"/>
  <c r="P49" i="25"/>
  <c r="P20" i="25"/>
  <c r="P12" i="25"/>
  <c r="P22" i="25"/>
  <c r="P9" i="25"/>
  <c r="P21" i="25"/>
  <c r="P16" i="25"/>
  <c r="P11" i="25"/>
  <c r="P10" i="25"/>
  <c r="P14" i="25"/>
  <c r="P7" i="25"/>
  <c r="C9" i="26"/>
  <c r="C9" i="25"/>
  <c r="D14" i="26"/>
  <c r="D14" i="25"/>
  <c r="D13" i="26"/>
  <c r="D13" i="25"/>
  <c r="E9" i="26" l="1"/>
  <c r="E9" i="25"/>
  <c r="P50" i="25"/>
  <c r="E13" i="25"/>
  <c r="E13" i="26"/>
  <c r="E14" i="25"/>
  <c r="E14" i="26"/>
  <c r="P50" i="26"/>
  <c r="P70" i="24"/>
  <c r="P69" i="24"/>
  <c r="P68" i="24"/>
  <c r="P67" i="24"/>
  <c r="P66" i="24"/>
  <c r="P65" i="24"/>
  <c r="P64" i="24"/>
  <c r="P63" i="24"/>
  <c r="P62" i="24"/>
  <c r="P58" i="24"/>
  <c r="O58" i="24"/>
  <c r="N58" i="24"/>
  <c r="M58" i="24"/>
  <c r="L58" i="24"/>
  <c r="K58" i="24"/>
  <c r="P57" i="24"/>
  <c r="O57" i="24"/>
  <c r="N57" i="24"/>
  <c r="M57" i="24"/>
  <c r="L57" i="24"/>
  <c r="K57" i="24"/>
  <c r="P56" i="24"/>
  <c r="O56" i="24"/>
  <c r="N56" i="24"/>
  <c r="M56" i="24"/>
  <c r="L56" i="24"/>
  <c r="K56" i="24"/>
  <c r="P55" i="24"/>
  <c r="O55" i="24"/>
  <c r="N55" i="24"/>
  <c r="M55" i="24"/>
  <c r="L55" i="24"/>
  <c r="K55" i="24"/>
  <c r="P54" i="24"/>
  <c r="O54" i="24"/>
  <c r="N54" i="24"/>
  <c r="M54" i="24"/>
  <c r="L54" i="24"/>
  <c r="K54" i="24"/>
  <c r="P53" i="24"/>
  <c r="O53" i="24"/>
  <c r="N53" i="24"/>
  <c r="M53" i="24"/>
  <c r="L53" i="24"/>
  <c r="K53" i="24"/>
  <c r="P52" i="24"/>
  <c r="O52" i="24"/>
  <c r="N52" i="24"/>
  <c r="M52" i="24"/>
  <c r="L52" i="24"/>
  <c r="K52" i="24"/>
  <c r="L51" i="24"/>
  <c r="K51" i="24"/>
  <c r="K50" i="24"/>
  <c r="L50" i="24" s="1"/>
  <c r="N51" i="24"/>
  <c r="M50" i="24"/>
  <c r="C2" i="24" a="1"/>
  <c r="C2" i="24" s="1"/>
  <c r="C10" i="26"/>
  <c r="C10" i="25"/>
  <c r="O23" i="24"/>
  <c r="N23" i="24"/>
  <c r="O22" i="24"/>
  <c r="N22" i="24"/>
  <c r="O21" i="24"/>
  <c r="N21" i="24"/>
  <c r="O20" i="24"/>
  <c r="N20" i="24"/>
  <c r="O19" i="24"/>
  <c r="N19" i="24"/>
  <c r="O18" i="24"/>
  <c r="N18" i="24"/>
  <c r="O17" i="24"/>
  <c r="N17" i="24"/>
  <c r="O16" i="24"/>
  <c r="N16" i="24"/>
  <c r="O15" i="24"/>
  <c r="N15" i="24"/>
  <c r="O14" i="24"/>
  <c r="N14" i="24"/>
  <c r="O13" i="24"/>
  <c r="N13" i="24"/>
  <c r="O12" i="24"/>
  <c r="N12" i="24"/>
  <c r="O11" i="24"/>
  <c r="N11" i="24"/>
  <c r="O10" i="24"/>
  <c r="N10" i="24"/>
  <c r="O9" i="24"/>
  <c r="N9" i="24"/>
  <c r="O8" i="24"/>
  <c r="N8" i="24"/>
  <c r="O7" i="24"/>
  <c r="N7" i="24"/>
  <c r="O6" i="24"/>
  <c r="N6" i="24"/>
  <c r="C16" i="26" l="1"/>
  <c r="E10" i="26"/>
  <c r="E10" i="25"/>
  <c r="C16" i="25"/>
  <c r="P7" i="24"/>
  <c r="P9" i="24"/>
  <c r="P10" i="24"/>
  <c r="P11" i="24"/>
  <c r="P12" i="24"/>
  <c r="P14" i="24"/>
  <c r="P16" i="24"/>
  <c r="P20" i="24"/>
  <c r="P21" i="24"/>
  <c r="P22" i="24"/>
  <c r="P23" i="24"/>
  <c r="E2" i="24"/>
  <c r="N50" i="24"/>
  <c r="O50" i="24" s="1"/>
  <c r="M51" i="24"/>
  <c r="L19" i="24"/>
  <c r="L18" i="24"/>
  <c r="L17" i="24"/>
  <c r="L15" i="24"/>
  <c r="L13" i="24"/>
  <c r="L8" i="24"/>
  <c r="L6" i="24"/>
  <c r="C14" i="24"/>
  <c r="D9" i="24"/>
  <c r="C9" i="24"/>
  <c r="C6" i="24"/>
  <c r="D8" i="24"/>
  <c r="C5" i="24"/>
  <c r="D6" i="24"/>
  <c r="D5" i="24"/>
  <c r="C8" i="24"/>
  <c r="D13" i="24"/>
  <c r="D14" i="24"/>
  <c r="D7" i="24"/>
  <c r="C7" i="24"/>
  <c r="C13" i="24"/>
  <c r="D10" i="24"/>
  <c r="C10" i="24"/>
  <c r="P6" i="24" l="1"/>
  <c r="P8" i="24"/>
  <c r="P13" i="24"/>
  <c r="P15" i="24"/>
  <c r="P17" i="24"/>
  <c r="P18" i="24"/>
  <c r="P19" i="24"/>
  <c r="C15" i="24"/>
  <c r="C16" i="24"/>
  <c r="E13" i="24"/>
  <c r="E6" i="24"/>
  <c r="E9" i="24"/>
  <c r="E8" i="24"/>
  <c r="E7" i="24"/>
  <c r="E10" i="24"/>
  <c r="E14" i="24"/>
  <c r="E5" i="24"/>
  <c r="P50" i="24"/>
  <c r="O51" i="24"/>
  <c r="P51" i="24" s="1"/>
  <c r="P69" i="20" l="1"/>
  <c r="P68" i="20"/>
  <c r="P67" i="20"/>
  <c r="P66" i="20"/>
  <c r="P65" i="20"/>
  <c r="P64" i="20"/>
  <c r="P63" i="20"/>
  <c r="P62" i="20"/>
  <c r="P61" i="20"/>
  <c r="P57" i="20"/>
  <c r="O57" i="20"/>
  <c r="N57" i="20"/>
  <c r="M57" i="20"/>
  <c r="L57" i="20"/>
  <c r="K57" i="20"/>
  <c r="P56" i="20"/>
  <c r="O56" i="20"/>
  <c r="N56" i="20"/>
  <c r="M56" i="20"/>
  <c r="L56" i="20"/>
  <c r="K56" i="20"/>
  <c r="P55" i="20"/>
  <c r="O55" i="20"/>
  <c r="N55" i="20"/>
  <c r="M55" i="20"/>
  <c r="L55" i="20"/>
  <c r="K55" i="20"/>
  <c r="P54" i="20"/>
  <c r="O54" i="20"/>
  <c r="N54" i="20"/>
  <c r="M54" i="20"/>
  <c r="L54" i="20"/>
  <c r="K54" i="20"/>
  <c r="P53" i="20"/>
  <c r="O53" i="20"/>
  <c r="N53" i="20"/>
  <c r="M53" i="20"/>
  <c r="L53" i="20"/>
  <c r="K53" i="20"/>
  <c r="P52" i="20"/>
  <c r="O52" i="20"/>
  <c r="N52" i="20"/>
  <c r="M52" i="20"/>
  <c r="L52" i="20"/>
  <c r="K52" i="20"/>
  <c r="P51" i="20"/>
  <c r="O51" i="20"/>
  <c r="N51" i="20"/>
  <c r="M51" i="20"/>
  <c r="L51" i="20"/>
  <c r="K51" i="20"/>
  <c r="N50" i="20"/>
  <c r="M50" i="20"/>
  <c r="K50" i="20"/>
  <c r="L50" i="20" s="1"/>
  <c r="C2" i="20" a="1"/>
  <c r="C2" i="20" s="1"/>
  <c r="O22" i="20"/>
  <c r="N22" i="20"/>
  <c r="O21" i="20"/>
  <c r="N21" i="20"/>
  <c r="O20" i="20"/>
  <c r="N20" i="20"/>
  <c r="O19" i="20"/>
  <c r="N19" i="20"/>
  <c r="O18" i="20"/>
  <c r="N18" i="20"/>
  <c r="O17" i="20"/>
  <c r="N17" i="20"/>
  <c r="O16" i="20"/>
  <c r="N16" i="20"/>
  <c r="O15" i="20"/>
  <c r="N15" i="20"/>
  <c r="O14" i="20"/>
  <c r="N14" i="20"/>
  <c r="O13" i="20"/>
  <c r="N13" i="20"/>
  <c r="O12" i="20"/>
  <c r="N12" i="20"/>
  <c r="O11" i="20"/>
  <c r="N11" i="20"/>
  <c r="O10" i="20"/>
  <c r="N10" i="20"/>
  <c r="O9" i="20"/>
  <c r="N9" i="20"/>
  <c r="O8" i="20"/>
  <c r="N8" i="20"/>
  <c r="O7" i="20"/>
  <c r="N7" i="20"/>
  <c r="O6" i="20"/>
  <c r="N6" i="20"/>
  <c r="P7" i="20" l="1"/>
  <c r="P9" i="20"/>
  <c r="P10" i="20"/>
  <c r="P11" i="20"/>
  <c r="P12" i="20"/>
  <c r="P14" i="20"/>
  <c r="P16" i="20"/>
  <c r="P20" i="20"/>
  <c r="P21" i="20"/>
  <c r="P22" i="20"/>
  <c r="N49" i="20"/>
  <c r="K49" i="20"/>
  <c r="M49" i="20"/>
  <c r="O50" i="20"/>
  <c r="P50" i="20" s="1"/>
  <c r="E2" i="20"/>
  <c r="D5" i="20"/>
  <c r="D7" i="20"/>
  <c r="D6" i="20"/>
  <c r="D8" i="20"/>
  <c r="C8" i="20"/>
  <c r="C14" i="20"/>
  <c r="C5" i="20"/>
  <c r="C13" i="20"/>
  <c r="D10" i="20"/>
  <c r="C7" i="20"/>
  <c r="D9" i="20"/>
  <c r="C15" i="20" l="1"/>
  <c r="E8" i="20"/>
  <c r="E7" i="20"/>
  <c r="E5" i="20"/>
  <c r="L49" i="20"/>
  <c r="C6" i="20"/>
  <c r="D13" i="20"/>
  <c r="D14" i="20"/>
  <c r="E6" i="20" l="1"/>
  <c r="E14" i="20"/>
  <c r="E13" i="20"/>
  <c r="O49" i="20"/>
  <c r="P49" i="20"/>
  <c r="C9" i="20"/>
  <c r="C10" i="20"/>
  <c r="L19" i="26"/>
  <c r="E10" i="20" l="1"/>
  <c r="C16" i="20"/>
  <c r="E9" i="20"/>
  <c r="P19" i="26"/>
  <c r="L13" i="26"/>
  <c r="L6" i="26"/>
  <c r="L19" i="25"/>
  <c r="L17" i="26"/>
  <c r="L18" i="26"/>
  <c r="L15" i="26"/>
  <c r="L8" i="26"/>
  <c r="P18" i="26" l="1"/>
  <c r="P19" i="25"/>
  <c r="P8" i="26"/>
  <c r="P6" i="26"/>
  <c r="P15" i="26"/>
  <c r="P17" i="26"/>
  <c r="P13" i="26"/>
  <c r="L19" i="20"/>
  <c r="L18" i="25"/>
  <c r="L8" i="25"/>
  <c r="L13" i="25"/>
  <c r="L6" i="25"/>
  <c r="L17" i="25"/>
  <c r="L15" i="25"/>
  <c r="P19" i="20" l="1"/>
  <c r="P18" i="25"/>
  <c r="P13" i="25"/>
  <c r="P8" i="25"/>
  <c r="P15" i="25"/>
  <c r="P17" i="25"/>
  <c r="P6" i="25"/>
  <c r="L8" i="20"/>
  <c r="L6" i="20"/>
  <c r="L18" i="20"/>
  <c r="L15" i="20"/>
  <c r="L17" i="20"/>
  <c r="L13" i="20"/>
  <c r="P13" i="20" l="1"/>
  <c r="P17" i="20"/>
  <c r="P15" i="20"/>
  <c r="P18" i="20"/>
  <c r="P6" i="20"/>
  <c r="P8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<sst xmlns="http://schemas.openxmlformats.org/spreadsheetml/2006/main" count="268" uniqueCount="48">
  <si>
    <t>Budgets</t>
  </si>
  <si>
    <t>Type</t>
  </si>
  <si>
    <t>Amount</t>
  </si>
  <si>
    <t>Rollover From Last Month</t>
  </si>
  <si>
    <t>Remaining Budget</t>
  </si>
  <si>
    <t>Name</t>
  </si>
  <si>
    <t>Income</t>
  </si>
  <si>
    <t>Override Rollover Amount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</si>
  <si>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</si>
  <si>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</si>
  <si>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</si>
  <si>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</si>
  <si>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</si>
  <si>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</si>
  <si>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</si>
  <si>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First Monday</t>
  </si>
  <si>
    <t>Second Monday</t>
  </si>
  <si>
    <t>Third Monday</t>
  </si>
  <si>
    <t>Fourth Monday</t>
  </si>
  <si>
    <t>Fifth Monday</t>
  </si>
  <si>
    <t>Account Balances</t>
  </si>
  <si>
    <t>Source</t>
  </si>
  <si>
    <t>Total Debits</t>
  </si>
  <si>
    <t>Total Credits</t>
  </si>
  <si>
    <t>Gross Income</t>
  </si>
  <si>
    <t>Retirement Contributions</t>
  </si>
  <si>
    <t>Other Payroll Deductions</t>
  </si>
  <si>
    <t>Net Income</t>
  </si>
  <si>
    <t>Healthcare Deductions</t>
  </si>
  <si>
    <t>Taxes</t>
  </si>
  <si>
    <t>Expected Income</t>
  </si>
  <si>
    <t>Actual Income</t>
  </si>
  <si>
    <t>Gross Income:</t>
  </si>
  <si>
    <t>Retirement Contributions:</t>
  </si>
  <si>
    <t>Taxes:</t>
  </si>
  <si>
    <t>Net Income:</t>
  </si>
  <si>
    <t>Expected</t>
  </si>
  <si>
    <t>Actual</t>
  </si>
  <si>
    <t>Difference</t>
  </si>
  <si>
    <t>Tax Rate:</t>
  </si>
  <si>
    <t>Expected Rates</t>
  </si>
  <si>
    <t>Expenses:</t>
  </si>
  <si>
    <t>Savings:</t>
  </si>
  <si>
    <t>Budgeted</t>
  </si>
  <si>
    <t>Other Payroll Deductions:</t>
  </si>
  <si>
    <t>Healthcare Deductions:</t>
  </si>
  <si>
    <t>Remaining Unbudgeted Amount:</t>
  </si>
  <si>
    <t>Total Amount: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</si>
</sst>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;[Red]&quot;$&quot;#,##0.00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165" fontId="0" fillId="2" borderId="1" xfId="0" applyNumberFormat="1" applyFill="1" applyBorder="1"/>
    <xf numFmtId="165" fontId="0" fillId="2" borderId="2" xfId="0" applyNumberFormat="1" applyFill="1" applyBorder="1" applyProtection="1">
      <protection locked="0"/>
    </xf>
    <xf numFmtId="165" fontId="0" fillId="2" borderId="2" xfId="0" applyNumberFormat="1" applyFill="1" applyBorder="1"/>
    <xf numFmtId="165" fontId="0" fillId="0" borderId="0" xfId="0" applyNumberFormat="1"/>
    <xf numFmtId="164" fontId="0" fillId="0" borderId="1" xfId="0" applyNumberFormat="1" applyBorder="1"/>
    <xf numFmtId="165" fontId="0" fillId="0" borderId="1" xfId="0" applyNumberFormat="1" applyBorder="1"/>
    <xf numFmtId="164" fontId="0" fillId="0" borderId="2" xfId="0" applyNumberFormat="1" applyBorder="1"/>
    <xf numFmtId="164" fontId="0" fillId="2" borderId="1" xfId="0" applyNumberFormat="1" applyFill="1" applyBorder="1" applyAlignment="1">
      <alignment horizontal="right" readingOrder="2"/>
    </xf>
    <xf numFmtId="164" fontId="0" fillId="2" borderId="2" xfId="0" applyNumberFormat="1" applyFill="1" applyBorder="1" applyAlignment="1">
      <alignment horizontal="right" readingOrder="2"/>
    </xf>
    <xf numFmtId="165" fontId="0" fillId="0" borderId="2" xfId="0" applyNumberFormat="1" applyBorder="1"/>
    <xf numFmtId="9" fontId="0" fillId="2" borderId="1" xfId="0" applyNumberFormat="1" applyFill="1" applyBorder="1" applyProtection="1">
      <protection locked="0"/>
    </xf>
  </cellXfs>
  <cellStyles count="1">
    <cellStyle name="Normal" xfId="0" builtinId="0"/>
  </cellStyles>
  <dxfs count="262"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7C888D4-D2A0-42A3-AF7A-69DDB6132627}" name="2023-08 (2)\Budgets" displayName="_2023_08__2_\Budgets_" ref="I5:P23" totalsRowShown="0" headerRowDxfId="246" dataDxfId="245">
  <autoFilter ref="I5:P23" xr:uid="{6993C61E-5182-4571-996F-3C4DB6F2B5F2}"/>
  <tableColumns count="8">
    <tableColumn id="1" xr3:uid="{83BDF8A9-16D5-4FAD-8883-B8AB4BF0CBF9}" name="Name" dataDxfId="244"/>
    <tableColumn id="2" xr3:uid="{DF4C47DB-0C38-4140-9A4F-CBFFCE84A85D}" name="Type" dataDxfId="243"/>
    <tableColumn id="3" xr3:uid="{D266A9E0-9F8B-47FD-BA0B-3E60FE29E3D1}" name="Amount" dataDxfId="242"/>
    <tableColumn id="4" xr3:uid="{02A995E3-B20A-4F4A-A6F7-7A14AF77ED1F}" name="Rollover From Last Month" dataDxfId="241">
      <calculatedColumnFormula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calculatedColumnFormula>
    </tableColumn>
    <tableColumn id="6" xr3:uid="{ADF04C24-7619-420B-BB47-052C5B44BEF4}" name="Override Rollover Amount" dataDxfId="240"/>
    <tableColumn id="7" xr3:uid="{0BB6F0D2-7D45-4C3E-9731-68F5C9C5C7B5}" name="Total Debits" dataDxfId="239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calculatedColumnFormula>
    </tableColumn>
    <tableColumn id="9" xr3:uid="{A939EBD1-196A-46D7-B1EA-B0874692155B}" name="Total Credits" dataDxfId="238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calculatedColumnFormula>
    </tableColumn>
    <tableColumn id="5" xr3:uid="{51181065-A55C-4635-93FD-180ED457A61F}" name="Remaining Budget" dataDxfId="237">
      <calculatedColumnFormula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4247360-4C75-4EEA-A4C2-8C34C5F915EF}" name="2023-08 (2)\Transactions" displayName="_2023_08__2_\Transactions_" ref="B19:G120" totalsRowShown="0" headerRowDxfId="236" dataDxfId="235">
  <autoFilter ref="B19:G120" xr:uid="{EC46B62F-7A14-4839-B25C-76E755827075}"/>
  <tableColumns count="6">
    <tableColumn id="1" xr3:uid="{7477D824-16EA-4400-8A4A-A26D94B0BDB2}" name="Date" dataDxfId="234"/>
    <tableColumn id="2" xr3:uid="{4804B0F6-75F9-4C71-82B4-253110B76157}" name="Location" dataDxfId="233"/>
    <tableColumn id="3" xr3:uid="{5ECA2053-BFE4-4C1D-B7D3-3F5BE41BA416}" name="Description" dataDxfId="232"/>
    <tableColumn id="4" xr3:uid="{1D632AF3-D9F2-4D16-BAD9-56A43FE7CEDA}" name="Category" dataDxfId="231"/>
    <tableColumn id="6" xr3:uid="{7496558E-9DF8-4A02-8DAB-BF4F75986351}" name="Type" dataDxfId="230"/>
    <tableColumn id="5" xr3:uid="{C38D712B-2662-4B3B-A13E-3A4F0BC5BFC0}" name="Amount" dataDxfId="22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73FBC6-CF07-4A38-A070-C0C9DFF56067}" name="2023-08 (2)\Balances" displayName="_2023_08__2_\Balances_" ref="I26:O40" totalsRowShown="0" headerRowDxfId="228" dataDxfId="227" tableBorderDxfId="226">
  <autoFilter ref="I26:O40" xr:uid="{9874A6B0-EF6A-4DFE-B7B5-17DAD41163E3}"/>
  <tableColumns count="7">
    <tableColumn id="1" xr3:uid="{9E5C9582-5D2F-4C0A-ADB1-B75EFE305F06}" name="Name" dataDxfId="225"/>
    <tableColumn id="2" xr3:uid="{80AD80A2-4E70-45A8-91C7-AFB3CA3A6FC7}" name="Category" dataDxfId="224"/>
    <tableColumn id="3" xr3:uid="{AD75D4A6-C383-4C52-858E-D0105EB0DB85}" name="First Monday" dataDxfId="223"/>
    <tableColumn id="4" xr3:uid="{DC809384-94C0-4AD0-975B-7E980BFF2F3E}" name="Second Monday" dataDxfId="222"/>
    <tableColumn id="5" xr3:uid="{0BEFD098-ADC6-4E9E-84D7-31A05AA1394B}" name="Third Monday" dataDxfId="221"/>
    <tableColumn id="6" xr3:uid="{C9616504-7670-4B53-B90A-4D4E4EF3F460}" name="Fourth Monday" dataDxfId="220"/>
    <tableColumn id="7" xr3:uid="{91176B76-109E-468C-8E43-8389F167B35D}" name="Fifth Monday" dataDxfId="21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9AF0EAE-135D-4830-9332-C3A0BF529D5F}" name="2023-08 (2)\Expected_Income" displayName="_2023_08__2_\Expected_Income_" ref="I49:P58" totalsRowShown="0" headerRowDxfId="218" dataDxfId="217" tableBorderDxfId="216">
  <autoFilter ref="I49:P58" xr:uid="{CBEC8C2F-5549-4B3F-927C-B3465789AE2F}"/>
  <tableColumns count="8">
    <tableColumn id="1" xr3:uid="{FC3C485A-E65E-4BE0-A361-D221B5B9A085}" name="Date" dataDxfId="215"/>
    <tableColumn id="2" xr3:uid="{D44C6079-9B01-41CF-9287-6CB7E52B791D}" name="Source" dataDxfId="214"/>
    <tableColumn id="3" xr3:uid="{E5CB86C1-FAB1-49FB-92D5-353C34491185}" name="Gross Income" dataDxfId="213">
      <calculatedColumnFormula>IF(_2023_08__2_\Expected_Income_[[#This Row],[Source]]="Advantage",$J$44,IF(_2023_08__2_\Expected_Income_[[#This Row],[Source]]="Saline", $J$45, " "))</calculatedColumnFormula>
    </tableColumn>
    <tableColumn id="4" xr3:uid="{D138DC48-B257-4C61-BF6D-F6680E974E01}" name="Retirement Contributions" dataDxfId="212">
      <calculatedColumnFormula>IF(_2023_08__2_\Expected_Income_[[#This Row],[Source]]="Advantage",_2023_08__2_\Expected_Income_[[#This Row],[Gross Income]]*$K$44,IF(_2023_08__2_\Expected_Income_[[#This Row],[Source]]="Saline", _2023_08__2_\Expected_Income_[[#This Row],[Gross Income]]*$K$45, " "))</calculatedColumnFormula>
    </tableColumn>
    <tableColumn id="5" xr3:uid="{80DCE307-B822-4242-85B2-B071132D0B68}" name="Healthcare Deductions" dataDxfId="211">
      <calculatedColumnFormula>IF(_2023_08__2_\Expected_Income_[[#This Row],[Source]]="Advantage",$L$44,IF(_2023_08__2_\Expected_Income_[[#This Row],[Source]]="Saline", $L$45, " "))</calculatedColumnFormula>
    </tableColumn>
    <tableColumn id="6" xr3:uid="{A786589B-65B8-4B4B-9E4F-DE94C70BCF44}" name="Other Payroll Deductions" dataDxfId="210">
      <calculatedColumnFormula>IF(_2023_08__2_\Expected_Income_[[#This Row],[Source]]="Advantage",$M$44,IF(_2023_08__2_\Expected_Income_[[#This Row],[Source]]="Saline", $M$45, " "))</calculatedColumnFormula>
    </tableColumn>
    <tableColumn id="7" xr3:uid="{26E76CDC-3355-4D93-B906-759D5C989E00}" name="Taxes" dataDxfId="209">
      <calculatedColumnFormula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calculatedColumnFormula>
    </tableColumn>
    <tableColumn id="8" xr3:uid="{C7CDC12B-923A-445D-B779-812E489C9287}" name="Net Income" dataDxfId="208">
      <calculatedColumnFormula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BD58F66-E887-4D29-9DAF-C8F7A14239A6}" name="2023-08 (2)\Actual_Income" displayName="_2023_08__2_\Actual_Income_" ref="I61:P70" totalsRowShown="0" headerRowDxfId="207" dataDxfId="206" tableBorderDxfId="205">
  <autoFilter ref="I61:P70" xr:uid="{E5E28DBB-8C36-4879-9321-9B9564D6F520}"/>
  <tableColumns count="8">
    <tableColumn id="1" xr3:uid="{0C0B9DAD-7953-441A-84BF-6A323C85C9AC}" name="Date" dataDxfId="204"/>
    <tableColumn id="2" xr3:uid="{63156741-6A32-4F93-B248-543E00DE0E35}" name="Source" dataDxfId="203"/>
    <tableColumn id="3" xr3:uid="{66130143-3A36-4DD3-911B-6EF33047C78D}" name="Gross Income" dataDxfId="202"/>
    <tableColumn id="4" xr3:uid="{56CBED11-2DCE-449A-B1B5-0F87262530C2}" name="Retirement Contributions" dataDxfId="201"/>
    <tableColumn id="5" xr3:uid="{3E3E4A85-604D-4BF0-8E1A-262CB28E4641}" name="Healthcare Deductions" dataDxfId="200"/>
    <tableColumn id="6" xr3:uid="{AD8EF7F8-E3CD-48C3-BD5D-27B5260F6A89}" name="Other Payroll Deductions" dataDxfId="199"/>
    <tableColumn id="7" xr3:uid="{7670475F-B64A-4B39-849D-FC97909C80BE}" name="Taxes" dataDxfId="198"/>
    <tableColumn id="8" xr3:uid="{686A1350-5F75-406D-80B0-9C2F3E1D733B}" name="Net Income" dataDxfId="197">
      <calculatedColumnFormula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C12B988-C381-413F-8259-4EC01A35FE06}" name="2023-08\Budgets" displayName="_2023_08\Budgets" ref="I5:P22" totalsRowShown="0" headerRowDxfId="181" dataDxfId="180">
  <autoFilter ref="I5:P22" xr:uid="{6993C61E-5182-4571-996F-3C4DB6F2B5F2}"/>
  <tableColumns count="8">
    <tableColumn id="1" xr3:uid="{B7A8F788-D423-4526-BBD6-E4E885C0CDFA}" name="Name" dataDxfId="179"/>
    <tableColumn id="2" xr3:uid="{804DBC8B-AD3F-4FA5-B8B1-C10AF883553B}" name="Type" dataDxfId="178"/>
    <tableColumn id="3" xr3:uid="{11842CDF-A989-4712-8EE4-908D8AC051AF}" name="Amount" dataDxfId="177"/>
    <tableColumn id="4" xr3:uid="{FB000C45-FB58-492F-A5D6-3547B18D503A}" name="Rollover From Last Month" dataDxfId="176">
      <calculatedColumnFormula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calculatedColumnFormula>
    </tableColumn>
    <tableColumn id="6" xr3:uid="{4A6D0079-9AF3-439B-B8A4-4197B11BBBCC}" name="Override Rollover Amount" dataDxfId="175"/>
    <tableColumn id="7" xr3:uid="{0B50F4F4-7446-491A-92B6-D63AAE968077}" name="Total Debits" dataDxfId="174">
      <calculatedColumnFormula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calculatedColumnFormula>
    </tableColumn>
    <tableColumn id="9" xr3:uid="{02620994-411B-4BE8-A452-B99B076D5BCC}" name="Total Credits" dataDxfId="173">
      <calculatedColumnFormula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calculatedColumnFormula>
    </tableColumn>
    <tableColumn id="5" xr3:uid="{4B8750CD-7C2D-4355-B33E-A8D9B8D23390}" name="Remaining Budget" dataDxfId="172">
      <calculatedColumnFormula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2A5C2FE-A30B-4065-B942-E7315862D80C}" name="2023-08\Transactions" displayName="_2023_08\Transactions" ref="B19:G120" totalsRowShown="0" headerRowDxfId="171" dataDxfId="170">
  <autoFilter ref="B19:G120" xr:uid="{EC46B62F-7A14-4839-B25C-76E755827075}"/>
  <tableColumns count="6">
    <tableColumn id="1" xr3:uid="{D58F01AB-A97F-4486-9282-EE91FDB41760}" name="Date" dataDxfId="169"/>
    <tableColumn id="2" xr3:uid="{8089F221-78B3-4FB1-B6B6-58828A0750A5}" name="Location" dataDxfId="168"/>
    <tableColumn id="3" xr3:uid="{FF618A45-800F-41EE-943B-2598FC031538}" name="Description" dataDxfId="167"/>
    <tableColumn id="4" xr3:uid="{68CAF895-DF47-48B6-A13E-FC821E14FB7D}" name="Category" dataDxfId="166"/>
    <tableColumn id="6" xr3:uid="{103E1156-FBF5-4C6D-9BF6-4B342A084EEB}" name="Type" dataDxfId="165"/>
    <tableColumn id="5" xr3:uid="{276CA5A7-0140-4F24-A5E2-36EBFDEF39EE}" name="Amount" dataDxfId="16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A0F320B-77CA-4360-A75F-D5ACBA5F360F}" name="2023-08\Balances" displayName="_2023_08\Balances" ref="I25:O39" totalsRowShown="0" headerRowDxfId="163" dataDxfId="162" tableBorderDxfId="161">
  <autoFilter ref="I25:O39" xr:uid="{9874A6B0-EF6A-4DFE-B7B5-17DAD41163E3}"/>
  <tableColumns count="7">
    <tableColumn id="1" xr3:uid="{3FFE1EF4-1F41-457C-AA61-A222C80A2C0E}" name="Name" dataDxfId="160"/>
    <tableColumn id="2" xr3:uid="{4DD8E795-8138-4D5C-9CBC-5CF6B04EC720}" name="Category" dataDxfId="159"/>
    <tableColumn id="3" xr3:uid="{7854BE8D-0905-4388-B69E-0F97D9EA3E93}" name="First Monday" dataDxfId="158"/>
    <tableColumn id="4" xr3:uid="{5F2B6270-7639-450E-8EF7-EDE1468C5417}" name="Second Monday" dataDxfId="157"/>
    <tableColumn id="5" xr3:uid="{9D030ED5-E442-4D85-A851-380DF396A012}" name="Third Monday" dataDxfId="156"/>
    <tableColumn id="6" xr3:uid="{8BE3283F-1D16-483B-9581-1648E69726AB}" name="Fourth Monday" dataDxfId="155"/>
    <tableColumn id="7" xr3:uid="{F70D8967-A7FD-47A5-9148-2D93F62B2188}" name="Fifth Monday" dataDxfId="15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CD8C115-8B39-4515-A73B-2B309353EF9B}" name="2023-08\Expected_Income" displayName="_2023_08\Expected_Income" ref="I48:P57" totalsRowShown="0" headerRowDxfId="153" dataDxfId="152" tableBorderDxfId="151">
  <autoFilter ref="I48:P57" xr:uid="{CBEC8C2F-5549-4B3F-927C-B3465789AE2F}"/>
  <tableColumns count="8">
    <tableColumn id="1" xr3:uid="{4B8C128F-B131-4771-AADE-27D4C76414FF}" name="Date" dataDxfId="150"/>
    <tableColumn id="2" xr3:uid="{B0C51935-2B57-4E02-B8BA-832C05266F6A}" name="Source" dataDxfId="149"/>
    <tableColumn id="3" xr3:uid="{C14B8C17-2AE7-446E-A683-CEEC7EDEF8D0}" name="Gross Income" dataDxfId="148">
      <calculatedColumnFormula>IF(_2023_08\Expected_Income[[#This Row],[Source]]="Advantage",$J$43,IF(_2023_08\Expected_Income[[#This Row],[Source]]="Saline", $J$44, " "))</calculatedColumnFormula>
    </tableColumn>
    <tableColumn id="4" xr3:uid="{CB6BB431-425C-4425-B41D-5DA24D96E84D}" name="Retirement Contributions" dataDxfId="147">
      <calculatedColumnFormula>IF(_2023_08\Expected_Income[[#This Row],[Source]]="Advantage",_2023_08\Expected_Income[[#This Row],[Gross Income]]*$K$43,IF(_2023_08\Expected_Income[[#This Row],[Source]]="Saline", _2023_08\Expected_Income[[#This Row],[Gross Income]]*$K$44, " "))</calculatedColumnFormula>
    </tableColumn>
    <tableColumn id="5" xr3:uid="{ABC9407F-B42E-4FA1-BEF6-72CE6838DA01}" name="Healthcare Deductions" dataDxfId="146">
      <calculatedColumnFormula>IF(_2023_08\Expected_Income[[#This Row],[Source]]="Advantage",$L$43,IF(_2023_08\Expected_Income[[#This Row],[Source]]="Saline", $L$44, " "))</calculatedColumnFormula>
    </tableColumn>
    <tableColumn id="6" xr3:uid="{5AA984D0-589A-46D2-A6E9-D185E56EFADE}" name="Other Payroll Deductions" dataDxfId="145">
      <calculatedColumnFormula>IF(_2023_08\Expected_Income[[#This Row],[Source]]="Advantage",$M$43,IF(_2023_08\Expected_Income[[#This Row],[Source]]="Saline", $M$44, " "))</calculatedColumnFormula>
    </tableColumn>
    <tableColumn id="7" xr3:uid="{8BE0F797-94C8-49B5-ADDA-5B625C039334}" name="Taxes" dataDxfId="144">
      <calculatedColumnFormula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calculatedColumnFormula>
    </tableColumn>
    <tableColumn id="8" xr3:uid="{D3630536-DD45-4069-B12F-30AC354363ED}" name="Net Income" dataDxfId="143">
      <calculatedColumnFormula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767917E-49C8-44B1-98EA-97D3011117F9}" name="2023-08\Actual_Income" displayName="_2023_08\Actual_Income" ref="I60:P69" totalsRowShown="0" headerRowDxfId="142" dataDxfId="141" tableBorderDxfId="140">
  <autoFilter ref="I60:P69" xr:uid="{E5E28DBB-8C36-4879-9321-9B9564D6F520}"/>
  <tableColumns count="8">
    <tableColumn id="1" xr3:uid="{96D82019-369A-43F2-9B63-E2A66667EF34}" name="Date" dataDxfId="139"/>
    <tableColumn id="2" xr3:uid="{95AE6F90-817D-4AC4-B008-6E640791A65C}" name="Source" dataDxfId="138"/>
    <tableColumn id="3" xr3:uid="{B559E94F-34B4-4644-96D9-36E78D24E251}" name="Gross Income" dataDxfId="137"/>
    <tableColumn id="4" xr3:uid="{48056D32-11CC-4163-A140-D461E353E102}" name="Retirement Contributions" dataDxfId="136"/>
    <tableColumn id="5" xr3:uid="{DF47FB11-0DEA-4D8B-9877-28DBC6017D6C}" name="Healthcare Deductions" dataDxfId="135"/>
    <tableColumn id="6" xr3:uid="{E8F921BD-F5F9-4F37-AD27-1774BA430E76}" name="Other Payroll Deductions" dataDxfId="134"/>
    <tableColumn id="7" xr3:uid="{5CBDE525-74A3-4525-A2F3-944F4606D986}" name="Taxes" dataDxfId="133"/>
    <tableColumn id="8" xr3:uid="{DDFA9B85-190A-445D-B9BA-4D48296FA7C6}" name="Net Income" dataDxfId="132">
      <calculatedColumnFormula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B9D3ADD2-E9A3-459A-A461-C7D534FFCECD}" name="2023-07\Budgets" displayName="_2023_07\Budgets" ref="I5:P22" totalsRowShown="0" headerRowDxfId="116" dataDxfId="115">
  <autoFilter ref="I5:P22" xr:uid="{6993C61E-5182-4571-996F-3C4DB6F2B5F2}"/>
  <tableColumns count="8">
    <tableColumn id="1" xr3:uid="{A39AD469-0BC2-4ED4-AED4-6D66D8C7A489}" name="Name" dataDxfId="114"/>
    <tableColumn id="2" xr3:uid="{A36485BD-186A-44DD-ACA9-3B713FA67C5E}" name="Type" dataDxfId="113"/>
    <tableColumn id="3" xr3:uid="{79FA58D6-3F18-42FF-847E-4A992C560753}" name="Amount" dataDxfId="112"/>
    <tableColumn id="4" xr3:uid="{F35BE943-174D-4F45-B309-122E0831BC0E}" name="Rollover From Last Month" dataDxfId="111">
      <calculatedColumnFormula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calculatedColumnFormula>
    </tableColumn>
    <tableColumn id="6" xr3:uid="{8DFA3789-73B4-457C-AE7A-72C22424ECD8}" name="Override Rollover Amount" dataDxfId="110"/>
    <tableColumn id="7" xr3:uid="{1160DDCB-8076-44B4-AC4B-1D8789047664}" name="Total Debits" dataDxfId="109">
      <calculatedColumnFormula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calculatedColumnFormula>
    </tableColumn>
    <tableColumn id="9" xr3:uid="{D11E393D-C29B-4666-911B-BF035DEC60C2}" name="Total Credits" dataDxfId="108">
      <calculatedColumnFormula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calculatedColumnFormula>
    </tableColumn>
    <tableColumn id="5" xr3:uid="{E369EECE-71F6-460B-96F3-0A824753DD4E}" name="Remaining Budget" dataDxfId="107">
      <calculatedColumnFormula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73C88668-39C7-4BD2-AB47-9AC2945FEE71}" name="2023-07\Transactions" displayName="_2023_07\Transactions" ref="B19:G120" totalsRowShown="0" headerRowDxfId="106" dataDxfId="105">
  <autoFilter ref="B19:G120" xr:uid="{EC46B62F-7A14-4839-B25C-76E755827075}"/>
  <tableColumns count="6">
    <tableColumn id="1" xr3:uid="{72CA565D-1231-4B7E-B821-19D68FC8A41F}" name="Date" dataDxfId="104"/>
    <tableColumn id="2" xr3:uid="{56B8B68D-0811-4A56-8DFF-A3F87D12907A}" name="Location" dataDxfId="103"/>
    <tableColumn id="3" xr3:uid="{D69E349C-256B-4478-A9FF-BD99B8CB3FA7}" name="Description" dataDxfId="102"/>
    <tableColumn id="4" xr3:uid="{CC1CF8C3-0D65-4B30-8CD8-B6545DFF28CD}" name="Category" dataDxfId="101"/>
    <tableColumn id="6" xr3:uid="{A0DEF6AE-5E99-4304-9B49-F907FD16A866}" name="Type" dataDxfId="100"/>
    <tableColumn id="5" xr3:uid="{84A1C44E-6C62-4BAB-B926-D688B00A501C}" name="Amount" dataDxfId="99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3866BFB-C082-4C33-A9DD-AA9E575611F3}" name="2023-07\Balances" displayName="_2023_07\Balances" ref="I25:O39" totalsRowShown="0" headerRowDxfId="98" dataDxfId="97" tableBorderDxfId="96">
  <autoFilter ref="I25:O39" xr:uid="{9874A6B0-EF6A-4DFE-B7B5-17DAD41163E3}"/>
  <tableColumns count="7">
    <tableColumn id="1" xr3:uid="{01BBA729-0B86-428F-A6D3-5467F3EC3BEB}" name="Name" dataDxfId="95"/>
    <tableColumn id="2" xr3:uid="{842A4E62-F950-40C2-8C86-EBC29E1A3E20}" name="Category" dataDxfId="94"/>
    <tableColumn id="3" xr3:uid="{69856C94-19B2-4E67-9B38-B7B3C32875C1}" name="First Monday" dataDxfId="93"/>
    <tableColumn id="4" xr3:uid="{E1D1DF1A-8F9D-4959-96D0-0D67B6272B56}" name="Second Monday" dataDxfId="92"/>
    <tableColumn id="5" xr3:uid="{A0B68B15-D6B8-4B22-9FA9-BF49BB9630CC}" name="Third Monday" dataDxfId="91"/>
    <tableColumn id="6" xr3:uid="{019D4186-F2D1-4962-B42C-2A884602E2FC}" name="Fourth Monday" dataDxfId="90"/>
    <tableColumn id="7" xr3:uid="{3281642A-1CB0-422B-9346-5F2C1B3F3F80}" name="Fifth Monday" dataDxfId="89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64177F3-7E0C-408A-8085-4B9484B189DE}" name="2023-07\Expected_Income" displayName="_2023_07\Expected_Income" ref="I48:P57" totalsRowShown="0" headerRowDxfId="88" dataDxfId="87" tableBorderDxfId="86">
  <autoFilter ref="I48:P57" xr:uid="{CBEC8C2F-5549-4B3F-927C-B3465789AE2F}"/>
  <tableColumns count="8">
    <tableColumn id="1" xr3:uid="{DDB79008-61C9-413B-8D9D-B6B782DD6A6A}" name="Date" dataDxfId="85"/>
    <tableColumn id="2" xr3:uid="{AE1F0EAE-750F-45BB-B9CE-5F378CCDE309}" name="Source" dataDxfId="84"/>
    <tableColumn id="3" xr3:uid="{0C9C6374-722E-4D5D-B695-66FC835DE08C}" name="Gross Income" dataDxfId="83">
      <calculatedColumnFormula>IF(_2023_07\Expected_Income[[#This Row],[Source]]="Advantage",$J$43,IF(_2023_07\Expected_Income[[#This Row],[Source]]="Saline", $J$44, " "))</calculatedColumnFormula>
    </tableColumn>
    <tableColumn id="4" xr3:uid="{5C092DA1-77B4-41D2-BF74-75D2DD9DD899}" name="Retirement Contributions" dataDxfId="82">
      <calculatedColumnFormula>IF(_2023_07\Expected_Income[[#This Row],[Source]]="Advantage",_2023_07\Expected_Income[[#This Row],[Gross Income]]*$K$43,IF(_2023_07\Expected_Income[[#This Row],[Source]]="Saline", _2023_07\Expected_Income[[#This Row],[Gross Income]]*$K$44, " "))</calculatedColumnFormula>
    </tableColumn>
    <tableColumn id="5" xr3:uid="{669F6D50-F470-4484-8E18-DCFFC2516164}" name="Healthcare Deductions" dataDxfId="81">
      <calculatedColumnFormula>IF(_2023_07\Expected_Income[[#This Row],[Source]]="Advantage",$L$43,IF(_2023_07\Expected_Income[[#This Row],[Source]]="Saline", $L$44, " "))</calculatedColumnFormula>
    </tableColumn>
    <tableColumn id="6" xr3:uid="{C9AFAC08-60E8-463D-98CE-D047F3A2C4B2}" name="Other Payroll Deductions" dataDxfId="80">
      <calculatedColumnFormula>IF(_2023_07\Expected_Income[[#This Row],[Source]]="Advantage",$M$43,IF(_2023_07\Expected_Income[[#This Row],[Source]]="Saline", $M$44, " "))</calculatedColumnFormula>
    </tableColumn>
    <tableColumn id="7" xr3:uid="{D86D48E6-94AC-45E1-B15E-CD5D3126589A}" name="Taxes" dataDxfId="79">
      <calculatedColumnFormula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calculatedColumnFormula>
    </tableColumn>
    <tableColumn id="8" xr3:uid="{AC5E3CAD-B957-4BB8-B7A9-61897E56187D}" name="Net Income" dataDxfId="78">
      <calculatedColumnFormula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5E3E0BFF-8560-42CF-814D-11FC65A3849D}" name="2023-07\Actual_Income" displayName="_2023_07\Actual_Income" ref="I60:P69" totalsRowShown="0" headerRowDxfId="77" dataDxfId="76" tableBorderDxfId="75">
  <autoFilter ref="I60:P69" xr:uid="{E5E28DBB-8C36-4879-9321-9B9564D6F520}"/>
  <tableColumns count="8">
    <tableColumn id="1" xr3:uid="{03BC8688-D9F5-48C9-950A-6C986E23BBB5}" name="Date" dataDxfId="74"/>
    <tableColumn id="2" xr3:uid="{FC01769D-40B9-4092-A433-CB43AE0C5645}" name="Source" dataDxfId="73"/>
    <tableColumn id="3" xr3:uid="{6C608578-5B7C-4DB0-B1DD-968D468C5F41}" name="Gross Income" dataDxfId="72"/>
    <tableColumn id="4" xr3:uid="{D21D5D0B-85AD-4C09-B68D-90ED2E46B8B9}" name="Retirement Contributions" dataDxfId="71"/>
    <tableColumn id="5" xr3:uid="{CFD6ABC8-0384-4A17-AF3A-FE7611F3F9A7}" name="Healthcare Deductions" dataDxfId="70"/>
    <tableColumn id="6" xr3:uid="{35018A98-292C-43E2-BBD9-C9D648AD9007}" name="Other Payroll Deductions" dataDxfId="69"/>
    <tableColumn id="7" xr3:uid="{B73495F2-8D60-4466-B0CA-2B9959FE5312}" name="Taxes" dataDxfId="68"/>
    <tableColumn id="8" xr3:uid="{F18B4CC1-1248-4ADF-B0CC-2C3C0D83E90C}" name="Net Income" dataDxfId="67">
      <calculatedColumnFormula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D2473E2D-03BD-41DB-B3D7-8E6A19B4AE9F}" name="2023-06\Budgets" displayName="_2023_06\Budgets" ref="I5:P22" totalsRowShown="0" headerRowDxfId="49" dataDxfId="48">
  <autoFilter ref="I5:P22" xr:uid="{6993C61E-5182-4571-996F-3C4DB6F2B5F2}"/>
  <tableColumns count="8">
    <tableColumn id="1" xr3:uid="{68C61E20-0786-4E47-B763-465712908B8E}" name="Name" dataDxfId="47"/>
    <tableColumn id="2" xr3:uid="{57ECEB5B-1BD8-4DA1-8A47-327119D7BCA8}" name="Type" dataDxfId="46"/>
    <tableColumn id="3" xr3:uid="{ABE0851D-B133-432C-A3ED-3F369B239C19}" name="Amount" dataDxfId="45"/>
    <tableColumn id="4" xr3:uid="{99B1CCC7-9D7B-40C7-A761-F5BEBD41CD26}" name="Rollover From Last Month" dataDxfId="44">
      <calculatedColumnFormula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calculatedColumnFormula>
    </tableColumn>
    <tableColumn id="6" xr3:uid="{C09A3E43-23B2-4D89-9E8E-7756A5E6B177}" name="Override Rollover Amount" dataDxfId="43"/>
    <tableColumn id="7" xr3:uid="{A18974EB-69A4-481C-8D5F-836DB24A2B1C}" name="Total Debits" dataDxfId="42">
      <calculatedColumnFormula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calculatedColumnFormula>
    </tableColumn>
    <tableColumn id="9" xr3:uid="{7B7FE649-EAE2-4E27-9BC7-E245AC64CB70}" name="Total Credits" dataDxfId="41">
      <calculatedColumnFormula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calculatedColumnFormula>
    </tableColumn>
    <tableColumn id="5" xr3:uid="{BE67B0B3-7F49-4D5E-9407-44EDCBD6BA6C}" name="Remaining Budget" dataDxfId="40">
      <calculatedColumnFormula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5C91583-AD2C-42E9-A24C-19345542C949}" name="2023-06\Transactions" displayName="_2023_06\Transactions" ref="B19:G120" totalsRowShown="0" headerRowDxfId="39" dataDxfId="38">
  <autoFilter ref="B19:G120" xr:uid="{EC46B62F-7A14-4839-B25C-76E755827075}"/>
  <tableColumns count="6">
    <tableColumn id="1" xr3:uid="{CE08DB1E-F41B-4A53-B5FC-4278ED92AFC1}" name="Date" dataDxfId="37"/>
    <tableColumn id="2" xr3:uid="{3939CDE3-1716-4C7C-9E10-81F69412F5BE}" name="Location" dataDxfId="36"/>
    <tableColumn id="3" xr3:uid="{BEF0F664-C760-4676-8556-600C954E9929}" name="Description" dataDxfId="35"/>
    <tableColumn id="4" xr3:uid="{44BDBEA1-A44C-4642-9A49-79F51AF26F29}" name="Category" dataDxfId="34"/>
    <tableColumn id="6" xr3:uid="{648A62DD-F458-44D0-B238-5C2649A0E916}" name="Type" dataDxfId="33"/>
    <tableColumn id="5" xr3:uid="{247F999F-3743-4AB3-8ED1-EB6EDB21D88C}" name="Amount" dataDxfId="3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4C64B269-34F2-43E2-B3E7-9EFA420E82AF}" name="2023-06\Balances" displayName="_2023_06\Balances" ref="I25:O39" totalsRowShown="0" headerRowDxfId="31" dataDxfId="30" tableBorderDxfId="29">
  <autoFilter ref="I25:O39" xr:uid="{9874A6B0-EF6A-4DFE-B7B5-17DAD41163E3}"/>
  <tableColumns count="7">
    <tableColumn id="1" xr3:uid="{D12E3C2F-B634-4EC1-B1D7-0138B6613EAA}" name="Name" dataDxfId="28"/>
    <tableColumn id="2" xr3:uid="{512B8BAA-6125-4B1E-8DF6-72F18D841FA3}" name="Category" dataDxfId="27"/>
    <tableColumn id="3" xr3:uid="{133184C1-DFE6-4F95-9E55-A32B35D23B38}" name="First Monday" dataDxfId="26"/>
    <tableColumn id="4" xr3:uid="{2D569927-38FF-494D-9B55-CBF7E3580936}" name="Second Monday" dataDxfId="25"/>
    <tableColumn id="5" xr3:uid="{AB4D91FA-7A24-41F0-944C-71DFD7CF12FC}" name="Third Monday" dataDxfId="24"/>
    <tableColumn id="6" xr3:uid="{6EF18D50-9F2E-4B8D-81A7-0FACE865F791}" name="Fourth Monday" dataDxfId="23"/>
    <tableColumn id="7" xr3:uid="{A918CBC8-C8C3-454F-8D15-73AEE75CC94F}" name="Fifth Monday" dataDxfId="2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5E896820-8C73-494B-BD7E-247D14C13882}" name="2023-06\Expected_Income" displayName="_2023_06\Expected_Income" ref="I48:P57" totalsRowShown="0" headerRowDxfId="21" dataDxfId="20" tableBorderDxfId="19">
  <autoFilter ref="I48:P57" xr:uid="{CBEC8C2F-5549-4B3F-927C-B3465789AE2F}"/>
  <tableColumns count="8">
    <tableColumn id="1" xr3:uid="{21573FB7-6114-42F3-9106-A34181D7FF38}" name="Date" dataDxfId="18"/>
    <tableColumn id="2" xr3:uid="{EE3D4CCD-AA38-48F9-8340-7BEB671C1A32}" name="Source" dataDxfId="17"/>
    <tableColumn id="3" xr3:uid="{871C7ED2-FD6D-41E6-93BF-8E3787A07060}" name="Gross Income" dataDxfId="16">
      <calculatedColumnFormula>IF(_2023_06\Expected_Income[[#This Row],[Source]]="Advantage",$J$43,IF(_2023_06\Expected_Income[[#This Row],[Source]]="Saline", $J$44, " "))</calculatedColumnFormula>
    </tableColumn>
    <tableColumn id="4" xr3:uid="{E74EAD40-F9BF-4D9A-B4E3-760B2ACBA69E}" name="Retirement Contributions" dataDxfId="15">
      <calculatedColumnFormula>IF(_2023_06\Expected_Income[[#This Row],[Source]]="Advantage",_2023_06\Expected_Income[[#This Row],[Gross Income]]*$K$43,IF(_2023_06\Expected_Income[[#This Row],[Source]]="Saline", _2023_06\Expected_Income[[#This Row],[Gross Income]]*$K$44, " "))</calculatedColumnFormula>
    </tableColumn>
    <tableColumn id="5" xr3:uid="{DAE15A6A-A6C3-414B-8364-2D89CF41049B}" name="Healthcare Deductions" dataDxfId="14">
      <calculatedColumnFormula>IF(_2023_06\Expected_Income[[#This Row],[Source]]="Advantage",$L$43,IF(_2023_06\Expected_Income[[#This Row],[Source]]="Saline", $L$44, " "))</calculatedColumnFormula>
    </tableColumn>
    <tableColumn id="6" xr3:uid="{5A211338-F091-43DF-8A75-2D3B4C86AFD8}" name="Other Payroll Deductions" dataDxfId="13">
      <calculatedColumnFormula>IF(_2023_06\Expected_Income[[#This Row],[Source]]="Advantage",$M$43,IF(_2023_06\Expected_Income[[#This Row],[Source]]="Saline", $M$44, " "))</calculatedColumnFormula>
    </tableColumn>
    <tableColumn id="7" xr3:uid="{6DE265AC-28D8-4423-9BCC-C12804912506}" name="Taxes" dataDxfId="12">
      <calculatedColumnFormula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calculatedColumnFormula>
    </tableColumn>
    <tableColumn id="8" xr3:uid="{F0949030-06B2-4BA3-9645-59DD73283DBA}" name="Net Income" dataDxfId="11">
      <calculatedColumnFormula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calculatedColumnFormula>
    </tableColumn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BDA65A30-267C-46CB-9B3F-F67D7B6420D9}" name="2023-06\Actual_Income" displayName="_2023_06\Actual_Income" ref="I60:P69" totalsRowShown="0" headerRowDxfId="10" dataDxfId="9" tableBorderDxfId="8">
  <autoFilter ref="I60:P69" xr:uid="{E5E28DBB-8C36-4879-9321-9B9564D6F520}"/>
  <tableColumns count="8">
    <tableColumn id="1" xr3:uid="{FEC8E59F-A329-4D22-8172-D8DCB4FF6625}" name="Date" dataDxfId="7"/>
    <tableColumn id="2" xr3:uid="{13A0959D-5CB1-4D0D-A61D-5DFF21B1D68A}" name="Source" dataDxfId="6"/>
    <tableColumn id="3" xr3:uid="{BF272E9F-0E63-4346-ADC0-86DDCCE4891D}" name="Gross Income" dataDxfId="5"/>
    <tableColumn id="4" xr3:uid="{D2776A49-5C9C-4502-9C9B-D74AA126E985}" name="Retirement Contributions" dataDxfId="4"/>
    <tableColumn id="5" xr3:uid="{F166442B-8D3E-4882-96BD-677807CCD255}" name="Healthcare Deductions" dataDxfId="3"/>
    <tableColumn id="6" xr3:uid="{80D41F2F-CDEF-479E-ADE4-DA140BCAE613}" name="Other Payroll Deductions" dataDxfId="2"/>
    <tableColumn id="7" xr3:uid="{FB738D55-EB81-4620-B555-25A72DA2304D}" name="Taxes" dataDxfId="1"/>
    <tableColumn id="8" xr3:uid="{BA3139D2-0600-46C0-AB4C-43BBEB82C88F}" name="Net Income" dataDxfId="0">
      <calculatedColumnFormula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2320-3C80-4C51-B522-EBAAC3A7C0D3}">
  <sheetPr codeName="Sheet20"/>
  <dimension ref="B2:P120"/>
  <sheetViews>
    <sheetView tabSelected="1" workbookViewId="0">
      <selection activeCell="P6" sqref="P6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17.7109375" customWidth="1"/>
    <col min="11" max="16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Template</v>
      </c>
      <c r="D2" s="1" t="s">
        <v>14</v>
      </c>
      <c r="E2" t="e">
        <f ca="1">_xlfn.CONCAT(IF(RIGHT(C2,2)="01", VALUE(LEFT(C2,4))-1, LEFT(C2,4)), "-", IF(RIGHT(C2,2)="01","12",TEXT(VALUE(RIGHT(C2,2))-1,"00")))</f>
        <v>#VALUE!</v>
      </c>
    </row>
    <row r="4" spans="2:16" ht="23.25" x14ac:dyDescent="0.35">
      <c r="B4" s="2" t="s">
        <v>6</v>
      </c>
      <c r="C4" s="1" t="s">
        <v>36</v>
      </c>
      <c r="D4" s="1" t="s">
        <v>37</v>
      </c>
      <c r="E4" s="1" t="s">
        <v>38</v>
      </c>
      <c r="I4" s="2" t="s">
        <v>0</v>
      </c>
    </row>
    <row r="5" spans="2:16" x14ac:dyDescent="0.25">
      <c r="B5" s="1" t="s">
        <v>32</v>
      </c>
      <c r="C5" s="3" t="e">
        <f ca="1">SUM(INDIRECT("_" &amp; SUBSTITUTE($C$2,"-","_") &amp; "\Expected_Income[Gross Income]"))</f>
        <v>#REF!</v>
      </c>
      <c r="D5" s="3" t="e">
        <f ca="1">SUM(INDIRECT("_" &amp; SUBSTITUTE($C$2,"-","_") &amp; "\Actual_Income[Gross Income]"))</f>
        <v>#REF!</v>
      </c>
      <c r="E5" s="14" t="e">
        <f ca="1">D5-C5</f>
        <v>#REF!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33</v>
      </c>
      <c r="C6" s="3" t="e">
        <f ca="1">SUM(INDIRECT("_" &amp; SUBSTITUTE($C$2,"-","_") &amp; "\Expected_Income[Retirement Contributions]"))</f>
        <v>#REF!</v>
      </c>
      <c r="D6" s="3" t="e">
        <f ca="1">SUM(INDIRECT("_" &amp; SUBSTITUTE($C$2,"-","_") &amp; "\Actual_Income[Retirement Contributions]"))</f>
        <v>#REF!</v>
      </c>
      <c r="E6" s="14" t="e">
        <f ca="1">D6-C6</f>
        <v>#REF!</v>
      </c>
      <c r="I6" s="4"/>
      <c r="J6" s="4"/>
      <c r="K6" s="5"/>
      <c r="L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6" s="5"/>
      <c r="N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6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7" spans="2:16" x14ac:dyDescent="0.25">
      <c r="B7" s="1" t="s">
        <v>45</v>
      </c>
      <c r="C7" s="14" t="e">
        <f ca="1">SUM(INDIRECT("_" &amp; SUBSTITUTE($C$2,"-","_") &amp; "\Expected_Income[Healthcare Deductions]"))</f>
        <v>#REF!</v>
      </c>
      <c r="D7" s="14" t="e">
        <f ca="1">SUM(INDIRECT("_" &amp; SUBSTITUTE($C$2,"-","_") &amp; "\Actual_Income[Healthcare Deductions]"))</f>
        <v>#REF!</v>
      </c>
      <c r="E7" s="14" t="e">
        <f ca="1">D7-C7</f>
        <v>#REF!</v>
      </c>
      <c r="I7" s="4"/>
      <c r="J7" s="4"/>
      <c r="K7" s="5"/>
      <c r="L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7" s="5"/>
      <c r="N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7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8" spans="2:16" x14ac:dyDescent="0.25">
      <c r="B8" s="1" t="s">
        <v>44</v>
      </c>
      <c r="C8" s="14" t="e">
        <f ca="1">SUM(INDIRECT("_" &amp; SUBSTITUTE($C$2,"-","_") &amp; "\Expected_Income[Other Payroll Deductions]"))</f>
        <v>#REF!</v>
      </c>
      <c r="D8" s="14" t="e">
        <f ca="1">SUM(INDIRECT("_" &amp; SUBSTITUTE($C$2,"-","_") &amp; "\Actual_Income[Other Payroll Deductions]"))</f>
        <v>#REF!</v>
      </c>
      <c r="E8" s="14" t="e">
        <f t="shared" ref="E8" ca="1" si="0">D8-C8</f>
        <v>#REF!</v>
      </c>
      <c r="I8" s="4"/>
      <c r="J8" s="4"/>
      <c r="K8" s="5"/>
      <c r="L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8" s="5"/>
      <c r="N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8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9" spans="2:16" x14ac:dyDescent="0.25">
      <c r="B9" s="1" t="s">
        <v>34</v>
      </c>
      <c r="C9" s="14" t="e">
        <f ca="1">SUM(INDIRECT("_" &amp; SUBSTITUTE($C$2,"-","_") &amp; "\Expected_Income[Taxes]"))</f>
        <v>#REF!</v>
      </c>
      <c r="D9" s="3" t="e">
        <f ca="1">SUM(INDIRECT("_" &amp; SUBSTITUTE($C$2,"-","_") &amp; "\Actual_Income[Taxes]"))</f>
        <v>#REF!</v>
      </c>
      <c r="E9" s="14" t="e">
        <f ca="1">D9-C9</f>
        <v>#REF!</v>
      </c>
      <c r="I9" s="4"/>
      <c r="J9" s="4"/>
      <c r="K9" s="5"/>
      <c r="L9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9" s="5"/>
      <c r="N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9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0" spans="2:16" x14ac:dyDescent="0.25">
      <c r="B10" s="1" t="s">
        <v>35</v>
      </c>
      <c r="C10" s="14" t="e">
        <f ca="1">SUM(INDIRECT("_" &amp; SUBSTITUTE($C$2,"-","_") &amp; "\Expected_Income[Net Income]"))</f>
        <v>#REF!</v>
      </c>
      <c r="D10" s="3" t="e">
        <f ca="1">SUM(INDIRECT("_" &amp; SUBSTITUTE($C$2,"-","_") &amp; "\Actual_Income[Net Income]"))</f>
        <v>#REF!</v>
      </c>
      <c r="E10" s="14" t="e">
        <f ca="1">D10-C10</f>
        <v>#REF!</v>
      </c>
      <c r="I10" s="4"/>
      <c r="J10" s="4"/>
      <c r="K10" s="5"/>
      <c r="L1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0" s="5"/>
      <c r="N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0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1" spans="2:16" x14ac:dyDescent="0.25">
      <c r="I11" s="4"/>
      <c r="J11" s="4"/>
      <c r="K11" s="5"/>
      <c r="L11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1" s="5"/>
      <c r="N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1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2" spans="2:16" x14ac:dyDescent="0.25">
      <c r="C12" s="1" t="s">
        <v>43</v>
      </c>
      <c r="D12" s="1" t="s">
        <v>37</v>
      </c>
      <c r="E12" s="1" t="s">
        <v>38</v>
      </c>
      <c r="I12" s="4"/>
      <c r="J12" s="4"/>
      <c r="K12" s="5"/>
      <c r="L1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2" s="5"/>
      <c r="N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2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3" spans="2:16" x14ac:dyDescent="0.25">
      <c r="B13" s="1" t="s">
        <v>41</v>
      </c>
      <c r="C13" s="14" t="e">
        <f ca="1">SUMIF(INDIRECT("_" &amp; SUBSTITUTE($C$2,"-","_") &amp; "\Budgets[Type]"), "&lt;&gt;Saving", INDIRECT("_" &amp; SUBSTITUTE($C$2,"-","_") &amp; "\Budgets[Amount]"))</f>
        <v>#REF!</v>
      </c>
      <c r="D13" s="14" t="e">
        <f ca="1">SUMIF(INDIRECT("_" &amp; SUBSTITUTE($C$2,"-","_") &amp; "\Budgets[Type]"), "&lt;&gt;Saving", INDIRECT("_" &amp; SUBSTITUTE($C$2,"-","_") &amp; "\Budgets[Total Debits]"))</f>
        <v>#REF!</v>
      </c>
      <c r="E13" s="14" t="e">
        <f ca="1">D13-C13</f>
        <v>#REF!</v>
      </c>
      <c r="I13" s="4"/>
      <c r="J13" s="4"/>
      <c r="K13" s="5"/>
      <c r="L13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3" s="5"/>
      <c r="N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3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4" spans="2:16" x14ac:dyDescent="0.25">
      <c r="B14" s="1" t="s">
        <v>42</v>
      </c>
      <c r="C14" s="14" t="e">
        <f ca="1">SUMIF(INDIRECT("_" &amp; SUBSTITUTE($C$2,"-","_") &amp; "\Budgets[Type]"), "=Saving", INDIRECT("_" &amp; SUBSTITUTE($C$2,"-","_") &amp; "\Budgets[Amount]"))</f>
        <v>#REF!</v>
      </c>
      <c r="D14" s="14" t="e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#REF!</v>
      </c>
      <c r="E14" s="14" t="e">
        <f ca="1">D14-C14</f>
        <v>#REF!</v>
      </c>
      <c r="I14" s="4"/>
      <c r="J14" s="4"/>
      <c r="K14" s="5"/>
      <c r="L14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4" s="5"/>
      <c r="N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4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5" spans="2:16" x14ac:dyDescent="0.25">
      <c r="B15" s="1" t="s">
        <v>47</v>
      </c>
      <c r="C15" s="14" t="e">
        <f ca="1">C13+C14</f>
        <v>#REF!</v>
      </c>
      <c r="D15" s="14"/>
      <c r="E15" s="14"/>
      <c r="I15" s="4"/>
      <c r="J15" s="4"/>
      <c r="K15" s="5"/>
      <c r="L15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5" s="5"/>
      <c r="N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5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6" spans="2:16" x14ac:dyDescent="0.25">
      <c r="B16" s="1" t="s">
        <v>46</v>
      </c>
      <c r="C16" s="14" t="e">
        <f ca="1">C10-C13-C14</f>
        <v>#REF!</v>
      </c>
      <c r="D16" s="14"/>
      <c r="E16" s="14"/>
      <c r="I16" s="4"/>
      <c r="J16" s="4"/>
      <c r="K16" s="5"/>
      <c r="L1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6" s="5"/>
      <c r="N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6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7" spans="2:16" x14ac:dyDescent="0.25">
      <c r="I17" s="4"/>
      <c r="J17" s="4"/>
      <c r="K17" s="5"/>
      <c r="L1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7" s="5"/>
      <c r="N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7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8" s="5"/>
      <c r="N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8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9" s="5"/>
      <c r="N1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9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0" s="5"/>
      <c r="N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0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1" s="9"/>
      <c r="N21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1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1" s="13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2" s="5"/>
      <c r="N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2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3" spans="2:16" x14ac:dyDescent="0.25">
      <c r="B23" s="6"/>
      <c r="C23" s="4"/>
      <c r="D23" s="4"/>
      <c r="E23" s="4"/>
      <c r="F23" s="4"/>
      <c r="G23" s="10"/>
      <c r="I23" s="4"/>
      <c r="J23" s="4"/>
      <c r="K23" s="5"/>
      <c r="L23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3" s="5"/>
      <c r="N2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3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3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4" spans="2:16" x14ac:dyDescent="0.25">
      <c r="B24" s="6"/>
      <c r="C24" s="4"/>
      <c r="D24" s="4"/>
      <c r="E24" s="4"/>
      <c r="F24" s="4"/>
      <c r="G24" s="10"/>
    </row>
    <row r="25" spans="2:16" ht="23.25" x14ac:dyDescent="0.35">
      <c r="B25" s="6"/>
      <c r="C25" s="4"/>
      <c r="D25" s="4"/>
      <c r="E25" s="4"/>
      <c r="F25" s="4"/>
      <c r="G25" s="10"/>
      <c r="I25" s="2" t="s">
        <v>20</v>
      </c>
    </row>
    <row r="26" spans="2:16" x14ac:dyDescent="0.25">
      <c r="B26" s="6"/>
      <c r="C26" s="4"/>
      <c r="D26" s="4"/>
      <c r="E26" s="4"/>
      <c r="F26" s="4"/>
      <c r="G26" s="10"/>
      <c r="I26" s="1" t="s">
        <v>5</v>
      </c>
      <c r="J26" s="1" t="s">
        <v>12</v>
      </c>
      <c r="K26" s="1" t="s">
        <v>15</v>
      </c>
      <c r="L26" s="1" t="s">
        <v>16</v>
      </c>
      <c r="M26" s="1" t="s">
        <v>17</v>
      </c>
      <c r="N26" s="1" t="s">
        <v>18</v>
      </c>
      <c r="O26" s="1" t="s">
        <v>19</v>
      </c>
    </row>
    <row r="27" spans="2:16" x14ac:dyDescent="0.25">
      <c r="B27" s="6"/>
      <c r="C27" s="4"/>
      <c r="D27" s="4"/>
      <c r="E27" s="4"/>
      <c r="F27" s="4"/>
      <c r="G27" s="10"/>
      <c r="I27" s="4"/>
      <c r="J27" s="4"/>
      <c r="K27" s="5"/>
      <c r="L27" s="5"/>
      <c r="M27" s="5"/>
      <c r="N27" s="5"/>
      <c r="O27" s="5"/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5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5" x14ac:dyDescent="0.25">
      <c r="B34" s="6"/>
      <c r="C34" s="4"/>
      <c r="D34" s="4"/>
      <c r="E34" s="4"/>
      <c r="F34" s="4"/>
      <c r="G34" s="10"/>
      <c r="I34" s="4"/>
      <c r="J34" s="4"/>
      <c r="K34" s="5"/>
      <c r="L34" s="5"/>
      <c r="M34" s="5"/>
      <c r="N34" s="5"/>
      <c r="O34" s="5"/>
    </row>
    <row r="35" spans="2:15" x14ac:dyDescent="0.25">
      <c r="B35" s="6"/>
      <c r="C35" s="4"/>
      <c r="D35" s="4"/>
      <c r="E35" s="4"/>
      <c r="F35" s="4"/>
      <c r="G35" s="10"/>
      <c r="I35" s="7"/>
      <c r="J35" s="7"/>
      <c r="K35" s="9"/>
      <c r="L35" s="9"/>
      <c r="M35" s="9"/>
      <c r="N35" s="9"/>
      <c r="O35" s="9"/>
    </row>
    <row r="36" spans="2:15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5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5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5" x14ac:dyDescent="0.25">
      <c r="B39" s="6"/>
      <c r="C39" s="4"/>
      <c r="D39" s="4"/>
      <c r="E39" s="4"/>
      <c r="F39" s="4"/>
      <c r="G39" s="10"/>
      <c r="I39" s="7"/>
      <c r="J39" s="7"/>
      <c r="K39" s="9"/>
      <c r="L39" s="9"/>
      <c r="M39" s="9"/>
      <c r="N39" s="9"/>
      <c r="O39" s="9"/>
    </row>
    <row r="40" spans="2:15" x14ac:dyDescent="0.25">
      <c r="B40" s="6"/>
      <c r="C40" s="4"/>
      <c r="D40" s="4"/>
      <c r="E40" s="4"/>
      <c r="F40" s="4"/>
      <c r="G40" s="10"/>
      <c r="I40" s="4"/>
      <c r="J40" s="4"/>
      <c r="K40" s="5"/>
      <c r="L40" s="5"/>
      <c r="M40" s="5"/>
      <c r="N40" s="5"/>
      <c r="O40" s="5"/>
    </row>
    <row r="41" spans="2:15" x14ac:dyDescent="0.25">
      <c r="B41" s="6"/>
      <c r="C41" s="4"/>
      <c r="D41" s="4"/>
      <c r="E41" s="4"/>
      <c r="F41" s="4"/>
      <c r="G41" s="10"/>
    </row>
    <row r="42" spans="2:15" ht="23.25" x14ac:dyDescent="0.35">
      <c r="B42" s="6"/>
      <c r="C42" s="4"/>
      <c r="D42" s="4"/>
      <c r="E42" s="4"/>
      <c r="F42" s="4"/>
      <c r="G42" s="10"/>
      <c r="I42" s="2" t="s">
        <v>40</v>
      </c>
    </row>
    <row r="43" spans="2:15" x14ac:dyDescent="0.25">
      <c r="B43" s="6"/>
      <c r="C43" s="4"/>
      <c r="D43" s="4"/>
      <c r="E43" s="4"/>
      <c r="F43" s="4"/>
      <c r="G43" s="10"/>
      <c r="J43" s="1" t="s">
        <v>24</v>
      </c>
      <c r="K43" s="1" t="s">
        <v>25</v>
      </c>
      <c r="L43" s="1" t="s">
        <v>28</v>
      </c>
      <c r="M43" s="1" t="s">
        <v>26</v>
      </c>
    </row>
    <row r="44" spans="2:15" x14ac:dyDescent="0.25">
      <c r="B44" s="6"/>
      <c r="C44" s="4"/>
      <c r="D44" s="4"/>
      <c r="E44" s="4"/>
      <c r="F44" s="4"/>
      <c r="G44" s="10"/>
      <c r="I44" s="1"/>
      <c r="J44" s="10"/>
      <c r="K44" s="21"/>
      <c r="L44" s="10"/>
      <c r="M44" s="10"/>
    </row>
    <row r="45" spans="2:15" x14ac:dyDescent="0.25">
      <c r="B45" s="6"/>
      <c r="C45" s="4"/>
      <c r="D45" s="4"/>
      <c r="E45" s="4"/>
      <c r="F45" s="4"/>
      <c r="G45" s="10"/>
      <c r="I45" s="1"/>
      <c r="J45" s="10"/>
      <c r="K45" s="21"/>
      <c r="L45" s="10"/>
      <c r="M45" s="10"/>
    </row>
    <row r="46" spans="2:15" x14ac:dyDescent="0.25">
      <c r="B46" s="6"/>
      <c r="C46" s="4"/>
      <c r="D46" s="4"/>
      <c r="E46" s="4"/>
      <c r="F46" s="4"/>
      <c r="G46" s="10"/>
      <c r="I46" s="1" t="s">
        <v>39</v>
      </c>
      <c r="J46" s="21"/>
    </row>
    <row r="47" spans="2:15" x14ac:dyDescent="0.25">
      <c r="B47" s="6"/>
      <c r="C47" s="4"/>
      <c r="D47" s="4"/>
      <c r="E47" s="4"/>
      <c r="F47" s="4"/>
      <c r="G47" s="10"/>
    </row>
    <row r="48" spans="2:15" ht="23.25" x14ac:dyDescent="0.35">
      <c r="B48" s="6"/>
      <c r="C48" s="4"/>
      <c r="D48" s="4"/>
      <c r="E48" s="4"/>
      <c r="F48" s="4"/>
      <c r="G48" s="10"/>
      <c r="I48" s="2" t="s">
        <v>30</v>
      </c>
    </row>
    <row r="49" spans="2:16" x14ac:dyDescent="0.25">
      <c r="B49" s="6"/>
      <c r="C49" s="4"/>
      <c r="D49" s="4"/>
      <c r="E49" s="4"/>
      <c r="F49" s="4"/>
      <c r="G49" s="10"/>
      <c r="I49" s="1" t="s">
        <v>9</v>
      </c>
      <c r="J49" s="1" t="s">
        <v>21</v>
      </c>
      <c r="K49" s="1" t="s">
        <v>24</v>
      </c>
      <c r="L49" s="1" t="s">
        <v>25</v>
      </c>
      <c r="M49" s="1" t="s">
        <v>28</v>
      </c>
      <c r="N49" s="1" t="s">
        <v>26</v>
      </c>
      <c r="O49" s="1" t="s">
        <v>29</v>
      </c>
      <c r="P49" s="1" t="s">
        <v>27</v>
      </c>
    </row>
    <row r="50" spans="2:16" x14ac:dyDescent="0.25">
      <c r="B50" s="6"/>
      <c r="C50" s="4"/>
      <c r="D50" s="4"/>
      <c r="E50" s="4"/>
      <c r="F50" s="4"/>
      <c r="G50" s="10"/>
      <c r="I50" s="6"/>
      <c r="J50" s="4"/>
      <c r="K50" s="15" t="str">
        <f>IF(_2023_08__2_\Expected_Income_[[#This Row],[Source]]="Advantage",$J$44,IF(_2023_08__2_\Expected_Income_[[#This Row],[Source]]="Saline", $J$45, " "))</f>
        <v xml:space="preserve"> </v>
      </c>
      <c r="L50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0" s="16" t="str">
        <f>IF(_2023_08__2_\Expected_Income_[[#This Row],[Source]]="Advantage",$L$44,IF(_2023_08__2_\Expected_Income_[[#This Row],[Source]]="Saline", $L$45, " "))</f>
        <v xml:space="preserve"> </v>
      </c>
      <c r="N50" s="15" t="str">
        <f>IF(_2023_08__2_\Expected_Income_[[#This Row],[Source]]="Advantage",$M$44,IF(_2023_08__2_\Expected_Income_[[#This Row],[Source]]="Saline", $M$45, " "))</f>
        <v xml:space="preserve"> </v>
      </c>
      <c r="O50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0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1" spans="2:16" x14ac:dyDescent="0.25">
      <c r="B51" s="6"/>
      <c r="C51" s="4"/>
      <c r="D51" s="4"/>
      <c r="E51" s="4"/>
      <c r="F51" s="4"/>
      <c r="G51" s="10"/>
      <c r="I51" s="6"/>
      <c r="J51" s="4"/>
      <c r="K51" s="15" t="str">
        <f>IF(_2023_08__2_\Expected_Income_[[#This Row],[Source]]="Advantage",$J$44,IF(_2023_08__2_\Expected_Income_[[#This Row],[Source]]="Saline", $J$45, " "))</f>
        <v xml:space="preserve"> </v>
      </c>
      <c r="L51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1" s="16" t="str">
        <f>IF(_2023_08__2_\Expected_Income_[[#This Row],[Source]]="Advantage",$L$44,IF(_2023_08__2_\Expected_Income_[[#This Row],[Source]]="Saline", $L$45, " "))</f>
        <v xml:space="preserve"> </v>
      </c>
      <c r="N51" s="15" t="str">
        <f>IF(_2023_08__2_\Expected_Income_[[#This Row],[Source]]="Advantage",$M$44,IF(_2023_08__2_\Expected_Income_[[#This Row],[Source]]="Saline", $M$45, " "))</f>
        <v xml:space="preserve"> </v>
      </c>
      <c r="O51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1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2" spans="2:16" x14ac:dyDescent="0.25">
      <c r="B52" s="6"/>
      <c r="C52" s="4"/>
      <c r="D52" s="4"/>
      <c r="E52" s="4"/>
      <c r="F52" s="4"/>
      <c r="G52" s="10"/>
      <c r="I52" s="6"/>
      <c r="J52" s="4"/>
      <c r="K52" s="15" t="str">
        <f>IF(_2023_08__2_\Expected_Income_[[#This Row],[Source]]="Advantage",$J$44,IF(_2023_08__2_\Expected_Income_[[#This Row],[Source]]="Saline", $J$45, " "))</f>
        <v xml:space="preserve"> </v>
      </c>
      <c r="L52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2" s="16" t="str">
        <f>IF(_2023_08__2_\Expected_Income_[[#This Row],[Source]]="Advantage",$L$44,IF(_2023_08__2_\Expected_Income_[[#This Row],[Source]]="Saline", $L$45, " "))</f>
        <v xml:space="preserve"> </v>
      </c>
      <c r="N52" s="15" t="str">
        <f>IF(_2023_08__2_\Expected_Income_[[#This Row],[Source]]="Advantage",$M$44,IF(_2023_08__2_\Expected_Income_[[#This Row],[Source]]="Saline", $M$45, " "))</f>
        <v xml:space="preserve"> </v>
      </c>
      <c r="O52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2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3" spans="2:16" x14ac:dyDescent="0.25">
      <c r="B53" s="6"/>
      <c r="C53" s="4"/>
      <c r="D53" s="4"/>
      <c r="E53" s="4"/>
      <c r="F53" s="4"/>
      <c r="G53" s="10"/>
      <c r="I53" s="6"/>
      <c r="J53" s="4"/>
      <c r="K53" s="15" t="str">
        <f>IF(_2023_08__2_\Expected_Income_[[#This Row],[Source]]="Advantage",$J$44,IF(_2023_08__2_\Expected_Income_[[#This Row],[Source]]="Saline", $J$45, " "))</f>
        <v xml:space="preserve"> </v>
      </c>
      <c r="L53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3" s="16" t="str">
        <f>IF(_2023_08__2_\Expected_Income_[[#This Row],[Source]]="Advantage",$L$44,IF(_2023_08__2_\Expected_Income_[[#This Row],[Source]]="Saline", $L$45, " "))</f>
        <v xml:space="preserve"> </v>
      </c>
      <c r="N53" s="15" t="str">
        <f>IF(_2023_08__2_\Expected_Income_[[#This Row],[Source]]="Advantage",$M$44,IF(_2023_08__2_\Expected_Income_[[#This Row],[Source]]="Saline", $M$45, " "))</f>
        <v xml:space="preserve"> </v>
      </c>
      <c r="O53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3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4" spans="2:16" x14ac:dyDescent="0.25">
      <c r="B54" s="6"/>
      <c r="C54" s="4"/>
      <c r="D54" s="4"/>
      <c r="E54" s="4"/>
      <c r="F54" s="4"/>
      <c r="G54" s="10"/>
      <c r="I54" s="6"/>
      <c r="J54" s="4"/>
      <c r="K54" s="15" t="str">
        <f>IF(_2023_08__2_\Expected_Income_[[#This Row],[Source]]="Advantage",$J$44,IF(_2023_08__2_\Expected_Income_[[#This Row],[Source]]="Saline", $J$45, " "))</f>
        <v xml:space="preserve"> </v>
      </c>
      <c r="L54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4" s="16" t="str">
        <f>IF(_2023_08__2_\Expected_Income_[[#This Row],[Source]]="Advantage",$L$44,IF(_2023_08__2_\Expected_Income_[[#This Row],[Source]]="Saline", $L$45, " "))</f>
        <v xml:space="preserve"> </v>
      </c>
      <c r="N54" s="15" t="str">
        <f>IF(_2023_08__2_\Expected_Income_[[#This Row],[Source]]="Advantage",$M$44,IF(_2023_08__2_\Expected_Income_[[#This Row],[Source]]="Saline", $M$45, " "))</f>
        <v xml:space="preserve"> </v>
      </c>
      <c r="O54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4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5" spans="2:16" x14ac:dyDescent="0.25">
      <c r="B55" s="6"/>
      <c r="C55" s="4"/>
      <c r="D55" s="4"/>
      <c r="E55" s="4"/>
      <c r="F55" s="4"/>
      <c r="G55" s="10"/>
      <c r="I55" s="6"/>
      <c r="J55" s="4"/>
      <c r="K55" s="15" t="str">
        <f>IF(_2023_08__2_\Expected_Income_[[#This Row],[Source]]="Advantage",$J$44,IF(_2023_08__2_\Expected_Income_[[#This Row],[Source]]="Saline", $J$45, " "))</f>
        <v xml:space="preserve"> </v>
      </c>
      <c r="L55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5" s="16" t="str">
        <f>IF(_2023_08__2_\Expected_Income_[[#This Row],[Source]]="Advantage",$L$44,IF(_2023_08__2_\Expected_Income_[[#This Row],[Source]]="Saline", $L$45, " "))</f>
        <v xml:space="preserve"> </v>
      </c>
      <c r="N55" s="15" t="str">
        <f>IF(_2023_08__2_\Expected_Income_[[#This Row],[Source]]="Advantage",$M$44,IF(_2023_08__2_\Expected_Income_[[#This Row],[Source]]="Saline", $M$45, " "))</f>
        <v xml:space="preserve"> </v>
      </c>
      <c r="O55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5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6" spans="2:16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IF(_2023_08__2_\Expected_Income_[[#This Row],[Source]]="Advantage",$J$44,IF(_2023_08__2_\Expected_Income_[[#This Row],[Source]]="Saline", $J$45, " "))</f>
        <v xml:space="preserve"> </v>
      </c>
      <c r="L56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6" s="16" t="str">
        <f>IF(_2023_08__2_\Expected_Income_[[#This Row],[Source]]="Advantage",$L$44,IF(_2023_08__2_\Expected_Income_[[#This Row],[Source]]="Saline", $L$45, " "))</f>
        <v xml:space="preserve"> </v>
      </c>
      <c r="N56" s="15" t="str">
        <f>IF(_2023_08__2_\Expected_Income_[[#This Row],[Source]]="Advantage",$M$44,IF(_2023_08__2_\Expected_Income_[[#This Row],[Source]]="Saline", $M$45, " "))</f>
        <v xml:space="preserve"> </v>
      </c>
      <c r="O56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6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7" spans="2:16" x14ac:dyDescent="0.25">
      <c r="B57" s="6"/>
      <c r="C57" s="4"/>
      <c r="D57" s="4"/>
      <c r="E57" s="4"/>
      <c r="F57" s="4"/>
      <c r="G57" s="10"/>
      <c r="I57" s="6"/>
      <c r="J57" s="4"/>
      <c r="K57" s="15" t="str">
        <f>IF(_2023_08__2_\Expected_Income_[[#This Row],[Source]]="Advantage",$J$44,IF(_2023_08__2_\Expected_Income_[[#This Row],[Source]]="Saline", $J$45, " "))</f>
        <v xml:space="preserve"> </v>
      </c>
      <c r="L57" s="15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7" s="16" t="str">
        <f>IF(_2023_08__2_\Expected_Income_[[#This Row],[Source]]="Advantage",$L$44,IF(_2023_08__2_\Expected_Income_[[#This Row],[Source]]="Saline", $L$45, " "))</f>
        <v xml:space="preserve"> </v>
      </c>
      <c r="N57" s="15" t="str">
        <f>IF(_2023_08__2_\Expected_Income_[[#This Row],[Source]]="Advantage",$M$44,IF(_2023_08__2_\Expected_Income_[[#This Row],[Source]]="Saline", $M$45, " "))</f>
        <v xml:space="preserve"> </v>
      </c>
      <c r="O57" s="15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7" s="15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8" spans="2:16" x14ac:dyDescent="0.25">
      <c r="B58" s="6"/>
      <c r="C58" s="4"/>
      <c r="D58" s="4"/>
      <c r="E58" s="4"/>
      <c r="F58" s="4"/>
      <c r="G58" s="10"/>
      <c r="I58" s="8"/>
      <c r="J58" s="7"/>
      <c r="K58" s="17" t="str">
        <f>IF(_2023_08__2_\Expected_Income_[[#This Row],[Source]]="Advantage",$J$44,IF(_2023_08__2_\Expected_Income_[[#This Row],[Source]]="Saline", $J$45, " "))</f>
        <v xml:space="preserve"> </v>
      </c>
      <c r="L58" s="17" t="str">
        <f>IF(_2023_08__2_\Expected_Income_[[#This Row],[Source]]="Advantage",_2023_08__2_\Expected_Income_[[#This Row],[Gross Income]]*$K$44,IF(_2023_08__2_\Expected_Income_[[#This Row],[Source]]="Saline", _2023_08__2_\Expected_Income_[[#This Row],[Gross Income]]*$K$45, " "))</f>
        <v xml:space="preserve"> </v>
      </c>
      <c r="M58" s="20" t="str">
        <f>IF(_2023_08__2_\Expected_Income_[[#This Row],[Source]]="Advantage",$L$44,IF(_2023_08__2_\Expected_Income_[[#This Row],[Source]]="Saline", $L$45, " "))</f>
        <v xml:space="preserve"> </v>
      </c>
      <c r="N58" s="17" t="str">
        <f>IF(_2023_08__2_\Expected_Income_[[#This Row],[Source]]="Advantage",$M$44,IF(_2023_08__2_\Expected_Income_[[#This Row],[Source]]="Saline", $M$45, " "))</f>
        <v xml:space="preserve"> </v>
      </c>
      <c r="O58" s="17" t="str">
        <f>IF(_2023_08__2_\Expected_Income_[[#This Row],[Source]]&lt;&gt; "", $J$46*(_2023_08__2_\Expected_Income_[[#This Row],[Gross Income]]-_2023_08__2_\Expected_Income_[[#This Row],[Retirement Contributions]]-_2023_08__2_\Expected_Income_[[#This Row],[Healthcare Deductions]]-_2023_08__2_\Expected_Income_[[#This Row],[Other Payroll Deductions]]), "")</f>
        <v/>
      </c>
      <c r="P58" s="17" t="str">
        <f>IF(_2023_08__2_\Expected_Income_[[#This Row],[Source]]&lt;&gt;"", _2023_08__2_\Expected_Income_[[#This Row],[Gross Income]]-_2023_08__2_\Expected_Income_[[#This Row],[Retirement Contributions]]-_2023_08__2_\Expected_Income_[[#This Row],[Healthcare Deductions]]-_2023_08__2_\Expected_Income_[[#This Row],[Other Payroll Deductions]]-_2023_08__2_\Expected_Income_[[#This Row],[Taxes]], "")</f>
        <v/>
      </c>
    </row>
    <row r="59" spans="2:16" x14ac:dyDescent="0.25">
      <c r="B59" s="6"/>
      <c r="C59" s="4"/>
      <c r="D59" s="4"/>
      <c r="E59" s="4"/>
      <c r="F59" s="4"/>
      <c r="G59" s="10"/>
    </row>
    <row r="60" spans="2:16" ht="23.25" x14ac:dyDescent="0.35">
      <c r="B60" s="6"/>
      <c r="C60" s="4"/>
      <c r="D60" s="4"/>
      <c r="E60" s="4"/>
      <c r="F60" s="4"/>
      <c r="G60" s="10"/>
      <c r="I60" s="2" t="s">
        <v>31</v>
      </c>
    </row>
    <row r="61" spans="2:16" x14ac:dyDescent="0.25">
      <c r="B61" s="6"/>
      <c r="C61" s="4"/>
      <c r="D61" s="4"/>
      <c r="E61" s="4"/>
      <c r="F61" s="4"/>
      <c r="G61" s="10"/>
      <c r="I61" s="1" t="s">
        <v>9</v>
      </c>
      <c r="J61" s="1" t="s">
        <v>21</v>
      </c>
      <c r="K61" s="1" t="s">
        <v>24</v>
      </c>
      <c r="L61" s="1" t="s">
        <v>25</v>
      </c>
      <c r="M61" s="1" t="s">
        <v>28</v>
      </c>
      <c r="N61" s="1" t="s">
        <v>26</v>
      </c>
      <c r="O61" s="1" t="s">
        <v>29</v>
      </c>
      <c r="P61" s="1" t="s">
        <v>27</v>
      </c>
    </row>
    <row r="62" spans="2:16" x14ac:dyDescent="0.25">
      <c r="B62" s="6"/>
      <c r="C62" s="4"/>
      <c r="D62" s="4"/>
      <c r="E62" s="4"/>
      <c r="F62" s="4"/>
      <c r="G62" s="10"/>
      <c r="I62" s="6"/>
      <c r="J62" s="4"/>
      <c r="K62" s="5"/>
      <c r="L62" s="5"/>
      <c r="M62" s="10"/>
      <c r="N62" s="5"/>
      <c r="O62" s="5"/>
      <c r="P62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3" spans="2:16" x14ac:dyDescent="0.25">
      <c r="B63" s="6"/>
      <c r="C63" s="4"/>
      <c r="D63" s="4"/>
      <c r="E63" s="4"/>
      <c r="F63" s="4"/>
      <c r="G63" s="10"/>
      <c r="I63" s="6"/>
      <c r="J63" s="4"/>
      <c r="K63" s="5"/>
      <c r="L63" s="5"/>
      <c r="M63" s="10"/>
      <c r="N63" s="5"/>
      <c r="O63" s="5"/>
      <c r="P63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4" spans="2:16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10"/>
      <c r="N64" s="5"/>
      <c r="O64" s="5"/>
      <c r="P64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5" spans="2:16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10"/>
      <c r="N65" s="5"/>
      <c r="O65" s="5"/>
      <c r="P65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6" spans="2:16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10"/>
      <c r="N66" s="5"/>
      <c r="O66" s="5"/>
      <c r="P66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7" spans="2:16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10"/>
      <c r="N67" s="5"/>
      <c r="O67" s="5"/>
      <c r="P67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8" spans="2:16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10"/>
      <c r="N68" s="5"/>
      <c r="O68" s="5"/>
      <c r="P68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69" spans="2:16" x14ac:dyDescent="0.25">
      <c r="B69" s="6"/>
      <c r="C69" s="4"/>
      <c r="D69" s="4"/>
      <c r="E69" s="4"/>
      <c r="F69" s="4"/>
      <c r="G69" s="10"/>
      <c r="I69" s="6"/>
      <c r="J69" s="4"/>
      <c r="K69" s="5"/>
      <c r="L69" s="5"/>
      <c r="M69" s="10"/>
      <c r="N69" s="5"/>
      <c r="O69" s="5"/>
      <c r="P69" s="15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70" spans="2:16" x14ac:dyDescent="0.25">
      <c r="B70" s="6"/>
      <c r="C70" s="4"/>
      <c r="D70" s="4"/>
      <c r="E70" s="4"/>
      <c r="F70" s="4"/>
      <c r="G70" s="10"/>
      <c r="I70" s="8"/>
      <c r="J70" s="7"/>
      <c r="K70" s="9"/>
      <c r="L70" s="9"/>
      <c r="M70" s="12"/>
      <c r="N70" s="9"/>
      <c r="O70" s="9"/>
      <c r="P70" s="17">
        <f>_2023_08__2_\Actual_Income_[[#This Row],[Gross Income]]-_2023_08__2_\Actual_Income_[[#This Row],[Retirement Contributions]]-_2023_08__2_\Actual_Income_[[#This Row],[Healthcare Deductions]]-_2023_08__2_\Actual_Income_[[#This Row],[Other Payroll Deductions]]-_2023_08__2_\Actual_Income_[[#This Row],[Taxes]]</f>
        <v>0</v>
      </c>
    </row>
    <row r="71" spans="2:16" x14ac:dyDescent="0.25">
      <c r="B71" s="6"/>
      <c r="C71" s="4"/>
      <c r="D71" s="4"/>
      <c r="E71" s="4"/>
      <c r="F71" s="4"/>
      <c r="G71" s="10"/>
    </row>
    <row r="72" spans="2:16" x14ac:dyDescent="0.25">
      <c r="B72" s="6"/>
      <c r="C72" s="4"/>
      <c r="D72" s="4"/>
      <c r="E72" s="4"/>
      <c r="F72" s="4"/>
      <c r="G72" s="10"/>
    </row>
    <row r="73" spans="2:16" x14ac:dyDescent="0.25">
      <c r="B73" s="6"/>
      <c r="C73" s="4"/>
      <c r="D73" s="4"/>
      <c r="E73" s="4"/>
      <c r="F73" s="4"/>
      <c r="G73" s="10"/>
    </row>
    <row r="74" spans="2:16" x14ac:dyDescent="0.25">
      <c r="B74" s="6"/>
      <c r="C74" s="4"/>
      <c r="D74" s="4"/>
      <c r="E74" s="4"/>
      <c r="F74" s="4"/>
      <c r="G74" s="10"/>
    </row>
    <row r="75" spans="2:16" x14ac:dyDescent="0.25">
      <c r="B75" s="6"/>
      <c r="C75" s="4"/>
      <c r="D75" s="4"/>
      <c r="E75" s="4"/>
      <c r="F75" s="4"/>
      <c r="G75" s="10"/>
    </row>
    <row r="76" spans="2:16" x14ac:dyDescent="0.25">
      <c r="B76" s="6"/>
      <c r="C76" s="4"/>
      <c r="D76" s="4"/>
      <c r="E76" s="4"/>
      <c r="F76" s="4"/>
      <c r="G76" s="10"/>
    </row>
    <row r="77" spans="2:16" x14ac:dyDescent="0.25">
      <c r="B77" s="6"/>
      <c r="C77" s="4"/>
      <c r="D77" s="4"/>
      <c r="E77" s="4"/>
      <c r="F77" s="4"/>
      <c r="G77" s="10"/>
    </row>
    <row r="78" spans="2:16" x14ac:dyDescent="0.25">
      <c r="B78" s="6"/>
      <c r="C78" s="4"/>
      <c r="D78" s="4"/>
      <c r="E78" s="4"/>
      <c r="F78" s="4"/>
      <c r="G78" s="10"/>
    </row>
    <row r="79" spans="2:16" x14ac:dyDescent="0.25">
      <c r="B79" s="6"/>
      <c r="C79" s="4"/>
      <c r="D79" s="4"/>
      <c r="E79" s="4"/>
      <c r="F79" s="4"/>
      <c r="G79" s="10"/>
    </row>
    <row r="80" spans="2:16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conditionalFormatting sqref="G55:G120">
    <cfRule type="expression" dxfId="261" priority="22">
      <formula>AND(INDIRECT("_" &amp; SUBSTITUTE($C$2,"-","_") &amp; "\Transactions[@Category]") &lt;&gt; "Savings", INDIRECT("_" &amp; SUBSTITUTE($C$2,"-","_") &amp; "\Transactions[@Type]") = "Credit")</formula>
    </cfRule>
    <cfRule type="expression" dxfId="260" priority="23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259" priority="20">
      <formula>AND(INDIRECT("_" &amp; SUBSTITUTE($C$2,"-","_") &amp; "\Transactions[@Category]") &lt;&gt; "Savings", INDIRECT("_" &amp; SUBSTITUTE($C$2,"-","_") &amp; "\Transactions[@Type]") = "Credit")</formula>
    </cfRule>
    <cfRule type="expression" dxfId="258" priority="21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3">
    <cfRule type="expression" dxfId="257" priority="9">
      <formula>AND(INDIRECT("_" &amp; SUBSTITUTE($C$2,"-","_") &amp; "\Budgets[@Type]")="Saving", INDIRECT("_" &amp; SUBSTITUTE($C$2,"-","_") &amp; "\Budgets[@[Remaining Budget]]")&gt;0)</formula>
    </cfRule>
    <cfRule type="expression" dxfId="256" priority="10">
      <formula>AND(INDIRECT("_" &amp; SUBSTITUTE($C$2,"-","_") &amp; "\Budgets[@Type]")="Saving", INDIRECT("_" &amp; SUBSTITUTE($C$2,"-","_") &amp; "\Budgets[@[Remaining Budget]]")&lt;0)</formula>
    </cfRule>
    <cfRule type="expression" dxfId="255" priority="11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254" priority="5">
      <formula>E5&lt;0</formula>
    </cfRule>
    <cfRule type="expression" dxfId="253" priority="6">
      <formula>E5&gt;0</formula>
    </cfRule>
  </conditionalFormatting>
  <conditionalFormatting sqref="E6:E9">
    <cfRule type="expression" dxfId="252" priority="7">
      <formula>E6&lt;0</formula>
    </cfRule>
    <cfRule type="expression" dxfId="251" priority="8">
      <formula>E6&gt;0</formula>
    </cfRule>
  </conditionalFormatting>
  <conditionalFormatting sqref="E14">
    <cfRule type="expression" dxfId="250" priority="1">
      <formula>E14&lt;0</formula>
    </cfRule>
    <cfRule type="expression" dxfId="249" priority="2">
      <formula>E14&gt;0</formula>
    </cfRule>
  </conditionalFormatting>
  <conditionalFormatting sqref="E13 E15">
    <cfRule type="expression" dxfId="248" priority="3">
      <formula>E13&lt;0</formula>
    </cfRule>
    <cfRule type="expression" dxfId="247" priority="4">
      <formula>E13&gt;0</formula>
    </cfRule>
  </conditionalFormatting>
  <dataValidations disablePrompts="1" count="5">
    <dataValidation type="list" showInputMessage="1" showErrorMessage="1" sqref="J6:J19" xr:uid="{2312BBE8-1DD0-41C6-8CBD-2714C5AF8A88}">
      <formula1>"Rolling,Fixed"</formula1>
    </dataValidation>
    <dataValidation type="list" showInputMessage="1" showErrorMessage="1" sqref="J20" xr:uid="{A98F8BCB-4195-4349-8D1C-8F29752CAB3A}">
      <formula1>"Rolling,Fixed,Saving"</formula1>
    </dataValidation>
    <dataValidation type="list" allowBlank="1" showInputMessage="1" showErrorMessage="1" sqref="E20:E120" xr:uid="{EB170196-1118-4C97-9161-E86478D49D67}">
      <formula1>INDIRECT("_" &amp; SUBSTITUTE($C$2,"-","_") &amp; "\Budgets[Name]")</formula1>
    </dataValidation>
    <dataValidation type="list" allowBlank="1" showInputMessage="1" showErrorMessage="1" sqref="J27:J40" xr:uid="{F5503B13-D553-4F16-B6F0-33B91A40639B}">
      <formula1>"Spending,Reserve,Savings,Loan,Safety Net,Retirement"</formula1>
    </dataValidation>
    <dataValidation type="list" allowBlank="1" showInputMessage="1" showErrorMessage="1" sqref="F20:F120" xr:uid="{B05E802A-906F-40D1-9701-2D696BB85752}">
      <formula1>"Credit,Debit"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D6E18-956C-49F4-BFA9-B4980F5617EA}">
  <sheetPr codeName="Sheet16"/>
  <dimension ref="B2:P120"/>
  <sheetViews>
    <sheetView workbookViewId="0">
      <selection activeCell="F43" sqref="F43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17.7109375" customWidth="1"/>
    <col min="11" max="16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2023-08</v>
      </c>
      <c r="D2" s="1" t="s">
        <v>14</v>
      </c>
      <c r="E2" t="str">
        <f ca="1">_xlfn.CONCAT(IF(RIGHT(C2,2)="01", VALUE(LEFT(C2,4))-1, LEFT(C2,4)), "-", IF(RIGHT(C2,2)="01","12",TEXT(VALUE(RIGHT(C2,2))-1,"00")))</f>
        <v>2023-07</v>
      </c>
    </row>
    <row r="4" spans="2:16" ht="23.25" x14ac:dyDescent="0.35">
      <c r="B4" s="2" t="s">
        <v>6</v>
      </c>
      <c r="C4" s="1" t="s">
        <v>36</v>
      </c>
      <c r="D4" s="1" t="s">
        <v>37</v>
      </c>
      <c r="E4" s="1" t="s">
        <v>38</v>
      </c>
      <c r="I4" s="2" t="s">
        <v>0</v>
      </c>
    </row>
    <row r="5" spans="2:16" x14ac:dyDescent="0.25">
      <c r="B5" s="1" t="s">
        <v>32</v>
      </c>
      <c r="C5" s="3">
        <f ca="1">SUM(INDIRECT("_" &amp; SUBSTITUTE($C$2,"-","_") &amp; "\Expected_Income[Gross Income]"))</f>
        <v>0</v>
      </c>
      <c r="D5" s="3">
        <f ca="1">SUM(INDIRECT("_" &amp; SUBSTITUTE($C$2,"-","_") &amp; "\Actual_Income[Gross Income]"))</f>
        <v>0</v>
      </c>
      <c r="E5" s="14">
        <f ca="1">D5-C5</f>
        <v>0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33</v>
      </c>
      <c r="C6" s="3">
        <f ca="1">SUM(INDIRECT("_" &amp; SUBSTITUTE($C$2,"-","_") &amp; "\Expected_Income[Retirement Contributions]"))</f>
        <v>0</v>
      </c>
      <c r="D6" s="3">
        <f ca="1">SUM(INDIRECT("_" &amp; SUBSTITUTE($C$2,"-","_") &amp; "\Actual_Income[Retirement Contributions]"))</f>
        <v>0</v>
      </c>
      <c r="E6" s="14">
        <f ca="1">D6-C6</f>
        <v>0</v>
      </c>
      <c r="I6" s="4"/>
      <c r="J6" s="4"/>
      <c r="K6" s="5"/>
      <c r="L6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6" s="5"/>
      <c r="N6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6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6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>
        <f ca="1">SUM(INDIRECT("_" &amp; SUBSTITUTE($C$2,"-","_") &amp; "\Actual_Income[Healthcare Deductions]"))</f>
        <v>0</v>
      </c>
      <c r="E7" s="14">
        <f ca="1">D7-C7</f>
        <v>0</v>
      </c>
      <c r="I7" s="4"/>
      <c r="J7" s="4"/>
      <c r="K7" s="5"/>
      <c r="L7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7" s="5"/>
      <c r="N7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7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7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>
        <f ca="1">SUM(INDIRECT("_" &amp; SUBSTITUTE($C$2,"-","_") &amp; "\Actual_Income[Other Payroll Deductions]"))</f>
        <v>0</v>
      </c>
      <c r="E8" s="14">
        <f t="shared" ref="E8" ca="1" si="0">D8-C8</f>
        <v>0</v>
      </c>
      <c r="I8" s="4"/>
      <c r="J8" s="4"/>
      <c r="K8" s="5"/>
      <c r="L8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8" s="5"/>
      <c r="N8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8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8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9" spans="2:16" x14ac:dyDescent="0.25">
      <c r="B9" s="1" t="s">
        <v>34</v>
      </c>
      <c r="C9" s="14">
        <f ca="1">SUM(INDIRECT("_" &amp; SUBSTITUTE($C$2,"-","_") &amp; "\Expected_Income[Taxes]"))</f>
        <v>0</v>
      </c>
      <c r="D9" s="3">
        <f ca="1">SUM(INDIRECT("_" &amp; SUBSTITUTE($C$2,"-","_") &amp; "\Actual_Income[Taxes]"))</f>
        <v>0</v>
      </c>
      <c r="E9" s="14">
        <f ca="1">D9-C9</f>
        <v>0</v>
      </c>
      <c r="I9" s="4"/>
      <c r="J9" s="4"/>
      <c r="K9" s="5"/>
      <c r="L9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9" s="5"/>
      <c r="N9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9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9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0" spans="2:16" x14ac:dyDescent="0.25">
      <c r="B10" s="1" t="s">
        <v>35</v>
      </c>
      <c r="C10" s="14">
        <f ca="1">SUM(INDIRECT("_" &amp; SUBSTITUTE($C$2,"-","_") &amp; "\Expected_Income[Net Income]"))</f>
        <v>0</v>
      </c>
      <c r="D10" s="3">
        <f ca="1">SUM(INDIRECT("_" &amp; SUBSTITUTE($C$2,"-","_") &amp; "\Actual_Income[Net Income]"))</f>
        <v>0</v>
      </c>
      <c r="E10" s="14">
        <f ca="1">D10-C10</f>
        <v>0</v>
      </c>
      <c r="I10" s="4"/>
      <c r="J10" s="4"/>
      <c r="K10" s="5"/>
      <c r="L10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0" s="5"/>
      <c r="N10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0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0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1" spans="2:16" x14ac:dyDescent="0.25">
      <c r="I11" s="4"/>
      <c r="J11" s="4"/>
      <c r="K11" s="5"/>
      <c r="L11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1" s="5"/>
      <c r="N11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1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1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2" spans="2:16" x14ac:dyDescent="0.25">
      <c r="C12" s="1" t="s">
        <v>43</v>
      </c>
      <c r="D12" s="1" t="s">
        <v>37</v>
      </c>
      <c r="E12" s="1" t="s">
        <v>38</v>
      </c>
      <c r="I12" s="4"/>
      <c r="J12" s="4"/>
      <c r="K12" s="5"/>
      <c r="L12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2" s="5"/>
      <c r="N12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2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2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3" spans="2:16" x14ac:dyDescent="0.25">
      <c r="B13" s="1" t="s">
        <v>41</v>
      </c>
      <c r="C13" s="14">
        <f ca="1">SUMIF(INDIRECT("_" &amp; SUBSTITUTE($C$2,"-","_") &amp; "\Budgets[Type]"), "&lt;&gt;Saving", INDIRECT("_" &amp; SUBSTITUTE($C$2,"-","_") &amp; "\Budgets[Amount]"))</f>
        <v>0</v>
      </c>
      <c r="D13" s="14">
        <f ca="1">SUMIF(INDIRECT("_" &amp; SUBSTITUTE($C$2,"-","_") &amp; "\Budgets[Type]"), "&lt;&gt;Saving", INDIRECT("_" &amp; SUBSTITUTE($C$2,"-","_") &amp; "\Budgets[Total Debits]"))</f>
        <v>0</v>
      </c>
      <c r="E13" s="14">
        <f ca="1">D13-C13</f>
        <v>0</v>
      </c>
      <c r="I13" s="4"/>
      <c r="J13" s="4"/>
      <c r="K13" s="5"/>
      <c r="L13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3" s="5"/>
      <c r="N13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3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3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4" spans="2:16" x14ac:dyDescent="0.25">
      <c r="B14" s="1" t="s">
        <v>42</v>
      </c>
      <c r="C14" s="14">
        <f ca="1">SUMIF(INDIRECT("_" &amp; SUBSTITUTE($C$2,"-","_") &amp; "\Budgets[Type]"), "=Saving", INDIRECT("_" &amp; SUBSTITUTE($C$2,"-","_") &amp; "\Budgets[Amount]"))</f>
        <v>0</v>
      </c>
      <c r="D14" s="14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0</v>
      </c>
      <c r="E14" s="14">
        <f ca="1">D14-C14</f>
        <v>0</v>
      </c>
      <c r="I14" s="4"/>
      <c r="J14" s="4"/>
      <c r="K14" s="5"/>
      <c r="L14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4" s="5"/>
      <c r="N14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4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4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5" spans="2:16" x14ac:dyDescent="0.25">
      <c r="B15" s="1" t="s">
        <v>47</v>
      </c>
      <c r="C15" s="14">
        <f ca="1">C13+C14</f>
        <v>0</v>
      </c>
      <c r="D15" s="14"/>
      <c r="E15" s="14"/>
      <c r="I15" s="4"/>
      <c r="J15" s="4"/>
      <c r="K15" s="5"/>
      <c r="L15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5" s="5"/>
      <c r="N15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5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5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6" spans="2:16" x14ac:dyDescent="0.25">
      <c r="B16" s="1" t="s">
        <v>46</v>
      </c>
      <c r="C16" s="14">
        <f ca="1">C10-C13-C14</f>
        <v>0</v>
      </c>
      <c r="D16" s="14"/>
      <c r="E16" s="14"/>
      <c r="I16" s="4"/>
      <c r="J16" s="4"/>
      <c r="K16" s="5"/>
      <c r="L16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6" s="5"/>
      <c r="N16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6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6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7" spans="2:16" x14ac:dyDescent="0.25">
      <c r="I17" s="4"/>
      <c r="J17" s="4"/>
      <c r="K17" s="5"/>
      <c r="L17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7" s="5"/>
      <c r="N17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7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7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8" s="5"/>
      <c r="N18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8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8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19" s="5"/>
      <c r="N19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19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19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20" s="5"/>
      <c r="N20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20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20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21" s="9"/>
      <c r="N21" s="13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21" s="13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21" s="13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IF(_2023_08\Budgets[[#This Row],[Type]]&lt;&gt;"Rolling", "", IF(NOT(ISBLANK(_2023_08\Budgets[[#This Row],[Override Rollover Amount]])), _2023_08\Budgets[[#This Row],[Override Rollover Amount]], SUMIF(INDIRECT("_" &amp; SUBSTITUTE($E$2,"-","_") &amp; "\Budgets[Name]"),_2023_08\Budgets[[#This Row],[Name]],INDIRECT("_" &amp; SUBSTITUTE($E$2,"-","_") &amp; "\Budgets[Remaining Budget]"))))</f>
        <v/>
      </c>
      <c r="M22" s="5"/>
      <c r="N22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"\Transactions[Type]"),"Debit")</f>
        <v>0</v>
      </c>
      <c r="O22" s="11">
        <f ca="1">SUMIFS(INDIRECT("_" &amp; SUBSTITUTE($C$2,"-","_") &amp; "\Transactions[Amount]"), INDIRECT("_" &amp; SUBSTITUTE($C$2,"-","_") &amp; "\Transactions[Category]"),_2023_08\Budgets[[#This Row],[Name]], INDIRECT("_" &amp; SUBSTITUTE($C$2,"-","_") &amp; "\Transactions[Type]"),"Credit")</f>
        <v>0</v>
      </c>
      <c r="P22" s="11">
        <f ca="1">IF(_2023_08\Budgets[[#This Row],[Type]]&lt;&gt;"Saving", _2023_08\Budgets[[#This Row],[Amount]]+IF(NOT(_2023_08\Budgets[[#This Row],[Rollover From Last Month]]=""),_2023_08\Budgets[[#This Row],[Rollover From Last Month]],0)-_2023_08\Budgets[[#This Row],[Total Debits]]+_2023_08\Budgets[[#This Row],[Total Credits]], _2023_08\Budgets[[#This Row],[Amount]]+IF(NOT(_2023_08\Budgets[[#This Row],[Rollover From Last Month]]=""),_2023_08\Budgets[[#This Row],[Rollover From Last Month]],0)+_2023_08\Budgets[[#This Row],[Total Debits]]-_2023_08\Budgets[[#This Row],[Total Credits]])</f>
        <v>0</v>
      </c>
    </row>
    <row r="23" spans="2:16" x14ac:dyDescent="0.25">
      <c r="B23" s="6"/>
      <c r="C23" s="4"/>
      <c r="D23" s="4"/>
      <c r="E23" s="4"/>
      <c r="F23" s="4"/>
      <c r="G23" s="10"/>
    </row>
    <row r="24" spans="2:16" ht="23.25" x14ac:dyDescent="0.35">
      <c r="B24" s="6"/>
      <c r="C24" s="4"/>
      <c r="D24" s="4"/>
      <c r="E24" s="4"/>
      <c r="F24" s="4"/>
      <c r="G24" s="10"/>
      <c r="I24" s="2" t="s">
        <v>20</v>
      </c>
    </row>
    <row r="25" spans="2:16" x14ac:dyDescent="0.25">
      <c r="B25" s="6"/>
      <c r="C25" s="4"/>
      <c r="D25" s="4"/>
      <c r="E25" s="4"/>
      <c r="F25" s="4"/>
      <c r="G25" s="10"/>
      <c r="I25" s="1" t="s">
        <v>5</v>
      </c>
      <c r="J25" s="1" t="s">
        <v>12</v>
      </c>
      <c r="K25" s="1" t="s">
        <v>15</v>
      </c>
      <c r="L25" s="1" t="s">
        <v>16</v>
      </c>
      <c r="M25" s="1" t="s">
        <v>17</v>
      </c>
      <c r="N25" s="1" t="s">
        <v>18</v>
      </c>
      <c r="O25" s="1" t="s">
        <v>19</v>
      </c>
    </row>
    <row r="26" spans="2:16" x14ac:dyDescent="0.25">
      <c r="B26" s="6"/>
      <c r="C26" s="4"/>
      <c r="D26" s="4"/>
      <c r="E26" s="4"/>
      <c r="F26" s="4"/>
      <c r="G26" s="10"/>
      <c r="I26" s="4"/>
      <c r="J26" s="4"/>
      <c r="K26" s="5"/>
      <c r="L26" s="5"/>
      <c r="M26" s="5"/>
      <c r="N26" s="5"/>
      <c r="O26" s="5"/>
    </row>
    <row r="27" spans="2:16" x14ac:dyDescent="0.25">
      <c r="B27" s="6"/>
      <c r="C27" s="4"/>
      <c r="D27" s="4"/>
      <c r="E27" s="4"/>
      <c r="F27" s="4"/>
      <c r="G27" s="10"/>
      <c r="I27" s="4"/>
      <c r="J27" s="4"/>
      <c r="K27" s="5"/>
      <c r="L27" s="5"/>
      <c r="M27" s="5"/>
      <c r="N27" s="5"/>
      <c r="O27" s="5"/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6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6" x14ac:dyDescent="0.25">
      <c r="B34" s="6"/>
      <c r="C34" s="4"/>
      <c r="D34" s="4"/>
      <c r="E34" s="4"/>
      <c r="F34" s="4"/>
      <c r="G34" s="10"/>
      <c r="I34" s="7"/>
      <c r="J34" s="7"/>
      <c r="K34" s="9"/>
      <c r="L34" s="9"/>
      <c r="M34" s="9"/>
      <c r="N34" s="9"/>
      <c r="O34" s="9"/>
    </row>
    <row r="35" spans="2:16" x14ac:dyDescent="0.25">
      <c r="B35" s="6"/>
      <c r="C35" s="4"/>
      <c r="D35" s="4"/>
      <c r="E35" s="4"/>
      <c r="F35" s="4"/>
      <c r="G35" s="10"/>
      <c r="I35" s="7"/>
      <c r="J35" s="7"/>
      <c r="K35" s="9"/>
      <c r="L35" s="9"/>
      <c r="M35" s="9"/>
      <c r="N35" s="9"/>
      <c r="O35" s="9"/>
    </row>
    <row r="36" spans="2:16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6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6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6" x14ac:dyDescent="0.25">
      <c r="B39" s="6"/>
      <c r="C39" s="4"/>
      <c r="D39" s="4"/>
      <c r="E39" s="4"/>
      <c r="F39" s="4"/>
      <c r="G39" s="10"/>
      <c r="I39" s="4"/>
      <c r="J39" s="4"/>
      <c r="K39" s="5"/>
      <c r="L39" s="5"/>
      <c r="M39" s="5"/>
      <c r="N39" s="5"/>
      <c r="O39" s="5"/>
    </row>
    <row r="40" spans="2:16" x14ac:dyDescent="0.25">
      <c r="B40" s="6"/>
      <c r="C40" s="4"/>
      <c r="D40" s="4"/>
      <c r="E40" s="4"/>
      <c r="F40" s="4"/>
      <c r="G40" s="10"/>
    </row>
    <row r="41" spans="2:16" ht="23.25" x14ac:dyDescent="0.35">
      <c r="B41" s="6"/>
      <c r="C41" s="4"/>
      <c r="D41" s="4"/>
      <c r="E41" s="4"/>
      <c r="F41" s="4"/>
      <c r="G41" s="10"/>
      <c r="I41" s="2" t="s">
        <v>40</v>
      </c>
    </row>
    <row r="42" spans="2:16" x14ac:dyDescent="0.25">
      <c r="B42" s="6"/>
      <c r="C42" s="4"/>
      <c r="D42" s="4"/>
      <c r="E42" s="4"/>
      <c r="F42" s="4"/>
      <c r="G42" s="10"/>
      <c r="J42" s="1" t="s">
        <v>24</v>
      </c>
      <c r="K42" s="1" t="s">
        <v>25</v>
      </c>
      <c r="L42" s="1" t="s">
        <v>28</v>
      </c>
      <c r="M42" s="1" t="s">
        <v>26</v>
      </c>
    </row>
    <row r="43" spans="2:16" x14ac:dyDescent="0.25">
      <c r="B43" s="6"/>
      <c r="C43" s="4"/>
      <c r="D43" s="4"/>
      <c r="E43" s="4"/>
      <c r="F43" s="4"/>
      <c r="G43" s="10"/>
      <c r="I43" s="1"/>
      <c r="J43" s="10"/>
      <c r="K43" s="21"/>
      <c r="L43" s="10"/>
      <c r="M43" s="10"/>
    </row>
    <row r="44" spans="2:16" x14ac:dyDescent="0.25">
      <c r="B44" s="6"/>
      <c r="C44" s="4"/>
      <c r="D44" s="4"/>
      <c r="E44" s="4"/>
      <c r="F44" s="4"/>
      <c r="G44" s="10"/>
      <c r="I44" s="1"/>
      <c r="J44" s="10"/>
      <c r="K44" s="21"/>
      <c r="L44" s="10"/>
      <c r="M44" s="10"/>
    </row>
    <row r="45" spans="2:16" x14ac:dyDescent="0.25">
      <c r="B45" s="6"/>
      <c r="C45" s="4"/>
      <c r="D45" s="4"/>
      <c r="E45" s="4"/>
      <c r="F45" s="4"/>
      <c r="G45" s="10"/>
      <c r="I45" s="1" t="s">
        <v>39</v>
      </c>
      <c r="J45" s="21"/>
    </row>
    <row r="46" spans="2:16" x14ac:dyDescent="0.25">
      <c r="B46" s="6"/>
      <c r="C46" s="4"/>
      <c r="D46" s="4"/>
      <c r="E46" s="4"/>
      <c r="F46" s="4"/>
      <c r="G46" s="10"/>
    </row>
    <row r="47" spans="2:16" ht="23.25" x14ac:dyDescent="0.35">
      <c r="B47" s="6"/>
      <c r="C47" s="4"/>
      <c r="D47" s="4"/>
      <c r="E47" s="4"/>
      <c r="F47" s="4"/>
      <c r="G47" s="10"/>
      <c r="I47" s="2" t="s">
        <v>30</v>
      </c>
    </row>
    <row r="48" spans="2:16" x14ac:dyDescent="0.25">
      <c r="B48" s="6"/>
      <c r="C48" s="4"/>
      <c r="D48" s="4"/>
      <c r="E48" s="4"/>
      <c r="F48" s="4"/>
      <c r="G48" s="10"/>
      <c r="I48" s="1" t="s">
        <v>9</v>
      </c>
      <c r="J48" s="1" t="s">
        <v>21</v>
      </c>
      <c r="K48" s="1" t="s">
        <v>24</v>
      </c>
      <c r="L48" s="1" t="s">
        <v>25</v>
      </c>
      <c r="M48" s="1" t="s">
        <v>28</v>
      </c>
      <c r="N48" s="1" t="s">
        <v>26</v>
      </c>
      <c r="O48" s="1" t="s">
        <v>29</v>
      </c>
      <c r="P48" s="1" t="s">
        <v>27</v>
      </c>
    </row>
    <row r="49" spans="2:16" x14ac:dyDescent="0.25">
      <c r="B49" s="6"/>
      <c r="C49" s="4"/>
      <c r="D49" s="4"/>
      <c r="E49" s="4"/>
      <c r="F49" s="4"/>
      <c r="G49" s="10"/>
      <c r="I49" s="6"/>
      <c r="J49" s="4"/>
      <c r="K49" s="15" t="str">
        <f>IF(_2023_08\Expected_Income[[#This Row],[Source]]="Advantage",$J$43,IF(_2023_08\Expected_Income[[#This Row],[Source]]="Saline", $J$44, " "))</f>
        <v xml:space="preserve"> </v>
      </c>
      <c r="L49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49" s="16" t="str">
        <f>IF(_2023_08\Expected_Income[[#This Row],[Source]]="Advantage",$L$43,IF(_2023_08\Expected_Income[[#This Row],[Source]]="Saline", $L$44, " "))</f>
        <v xml:space="preserve"> </v>
      </c>
      <c r="N49" s="15" t="str">
        <f>IF(_2023_08\Expected_Income[[#This Row],[Source]]="Advantage",$M$43,IF(_2023_08\Expected_Income[[#This Row],[Source]]="Saline", $M$44, " "))</f>
        <v xml:space="preserve"> </v>
      </c>
      <c r="O49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49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0" spans="2:16" x14ac:dyDescent="0.25">
      <c r="B50" s="6"/>
      <c r="C50" s="4"/>
      <c r="D50" s="4"/>
      <c r="E50" s="4"/>
      <c r="F50" s="4"/>
      <c r="G50" s="10"/>
      <c r="I50" s="6"/>
      <c r="J50" s="4"/>
      <c r="K50" s="15" t="str">
        <f>IF(_2023_08\Expected_Income[[#This Row],[Source]]="Advantage",$J$43,IF(_2023_08\Expected_Income[[#This Row],[Source]]="Saline", $J$44, " "))</f>
        <v xml:space="preserve"> </v>
      </c>
      <c r="L50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0" s="16" t="str">
        <f>IF(_2023_08\Expected_Income[[#This Row],[Source]]="Advantage",$L$43,IF(_2023_08\Expected_Income[[#This Row],[Source]]="Saline", $L$44, " "))</f>
        <v xml:space="preserve"> </v>
      </c>
      <c r="N50" s="15" t="str">
        <f>IF(_2023_08\Expected_Income[[#This Row],[Source]]="Advantage",$M$43,IF(_2023_08\Expected_Income[[#This Row],[Source]]="Saline", $M$44, " "))</f>
        <v xml:space="preserve"> </v>
      </c>
      <c r="O50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0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1" spans="2:16" x14ac:dyDescent="0.25">
      <c r="B51" s="6"/>
      <c r="C51" s="4"/>
      <c r="D51" s="4"/>
      <c r="E51" s="4"/>
      <c r="F51" s="4"/>
      <c r="G51" s="10"/>
      <c r="I51" s="6"/>
      <c r="J51" s="4"/>
      <c r="K51" s="15" t="str">
        <f>IF(_2023_08\Expected_Income[[#This Row],[Source]]="Advantage",$J$43,IF(_2023_08\Expected_Income[[#This Row],[Source]]="Saline", $J$44, " "))</f>
        <v xml:space="preserve"> </v>
      </c>
      <c r="L51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1" s="16" t="str">
        <f>IF(_2023_08\Expected_Income[[#This Row],[Source]]="Advantage",$L$43,IF(_2023_08\Expected_Income[[#This Row],[Source]]="Saline", $L$44, " "))</f>
        <v xml:space="preserve"> </v>
      </c>
      <c r="N51" s="15" t="str">
        <f>IF(_2023_08\Expected_Income[[#This Row],[Source]]="Advantage",$M$43,IF(_2023_08\Expected_Income[[#This Row],[Source]]="Saline", $M$44, " "))</f>
        <v xml:space="preserve"> </v>
      </c>
      <c r="O51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1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2" spans="2:16" x14ac:dyDescent="0.25">
      <c r="B52" s="6"/>
      <c r="C52" s="4"/>
      <c r="D52" s="4"/>
      <c r="E52" s="4"/>
      <c r="F52" s="4"/>
      <c r="G52" s="10"/>
      <c r="I52" s="6"/>
      <c r="J52" s="4"/>
      <c r="K52" s="15" t="str">
        <f>IF(_2023_08\Expected_Income[[#This Row],[Source]]="Advantage",$J$43,IF(_2023_08\Expected_Income[[#This Row],[Source]]="Saline", $J$44, " "))</f>
        <v xml:space="preserve"> </v>
      </c>
      <c r="L52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2" s="16" t="str">
        <f>IF(_2023_08\Expected_Income[[#This Row],[Source]]="Advantage",$L$43,IF(_2023_08\Expected_Income[[#This Row],[Source]]="Saline", $L$44, " "))</f>
        <v xml:space="preserve"> </v>
      </c>
      <c r="N52" s="15" t="str">
        <f>IF(_2023_08\Expected_Income[[#This Row],[Source]]="Advantage",$M$43,IF(_2023_08\Expected_Income[[#This Row],[Source]]="Saline", $M$44, " "))</f>
        <v xml:space="preserve"> </v>
      </c>
      <c r="O52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2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3" spans="2:16" x14ac:dyDescent="0.25">
      <c r="B53" s="6"/>
      <c r="C53" s="4"/>
      <c r="D53" s="4"/>
      <c r="E53" s="4"/>
      <c r="F53" s="4"/>
      <c r="G53" s="10"/>
      <c r="I53" s="6"/>
      <c r="J53" s="4"/>
      <c r="K53" s="15" t="str">
        <f>IF(_2023_08\Expected_Income[[#This Row],[Source]]="Advantage",$J$43,IF(_2023_08\Expected_Income[[#This Row],[Source]]="Saline", $J$44, " "))</f>
        <v xml:space="preserve"> </v>
      </c>
      <c r="L53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3" s="16" t="str">
        <f>IF(_2023_08\Expected_Income[[#This Row],[Source]]="Advantage",$L$43,IF(_2023_08\Expected_Income[[#This Row],[Source]]="Saline", $L$44, " "))</f>
        <v xml:space="preserve"> </v>
      </c>
      <c r="N53" s="15" t="str">
        <f>IF(_2023_08\Expected_Income[[#This Row],[Source]]="Advantage",$M$43,IF(_2023_08\Expected_Income[[#This Row],[Source]]="Saline", $M$44, " "))</f>
        <v xml:space="preserve"> </v>
      </c>
      <c r="O53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3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4" spans="2:16" x14ac:dyDescent="0.25">
      <c r="B54" s="6"/>
      <c r="C54" s="4"/>
      <c r="D54" s="4"/>
      <c r="E54" s="4"/>
      <c r="F54" s="4"/>
      <c r="G54" s="10"/>
      <c r="I54" s="6"/>
      <c r="J54" s="4"/>
      <c r="K54" s="15" t="str">
        <f>IF(_2023_08\Expected_Income[[#This Row],[Source]]="Advantage",$J$43,IF(_2023_08\Expected_Income[[#This Row],[Source]]="Saline", $J$44, " "))</f>
        <v xml:space="preserve"> </v>
      </c>
      <c r="L54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4" s="16" t="str">
        <f>IF(_2023_08\Expected_Income[[#This Row],[Source]]="Advantage",$L$43,IF(_2023_08\Expected_Income[[#This Row],[Source]]="Saline", $L$44, " "))</f>
        <v xml:space="preserve"> </v>
      </c>
      <c r="N54" s="15" t="str">
        <f>IF(_2023_08\Expected_Income[[#This Row],[Source]]="Advantage",$M$43,IF(_2023_08\Expected_Income[[#This Row],[Source]]="Saline", $M$44, " "))</f>
        <v xml:space="preserve"> </v>
      </c>
      <c r="O54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4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5" spans="2:16" x14ac:dyDescent="0.25">
      <c r="B55" s="6"/>
      <c r="C55" s="4"/>
      <c r="D55" s="4"/>
      <c r="E55" s="4"/>
      <c r="F55" s="4"/>
      <c r="G55" s="10"/>
      <c r="I55" s="6"/>
      <c r="J55" s="4"/>
      <c r="K55" s="15" t="str">
        <f>IF(_2023_08\Expected_Income[[#This Row],[Source]]="Advantage",$J$43,IF(_2023_08\Expected_Income[[#This Row],[Source]]="Saline", $J$44, " "))</f>
        <v xml:space="preserve"> </v>
      </c>
      <c r="L55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5" s="16" t="str">
        <f>IF(_2023_08\Expected_Income[[#This Row],[Source]]="Advantage",$L$43,IF(_2023_08\Expected_Income[[#This Row],[Source]]="Saline", $L$44, " "))</f>
        <v xml:space="preserve"> </v>
      </c>
      <c r="N55" s="15" t="str">
        <f>IF(_2023_08\Expected_Income[[#This Row],[Source]]="Advantage",$M$43,IF(_2023_08\Expected_Income[[#This Row],[Source]]="Saline", $M$44, " "))</f>
        <v xml:space="preserve"> </v>
      </c>
      <c r="O55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5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6" spans="2:16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IF(_2023_08\Expected_Income[[#This Row],[Source]]="Advantage",$J$43,IF(_2023_08\Expected_Income[[#This Row],[Source]]="Saline", $J$44, " "))</f>
        <v xml:space="preserve"> </v>
      </c>
      <c r="L56" s="15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6" s="16" t="str">
        <f>IF(_2023_08\Expected_Income[[#This Row],[Source]]="Advantage",$L$43,IF(_2023_08\Expected_Income[[#This Row],[Source]]="Saline", $L$44, " "))</f>
        <v xml:space="preserve"> </v>
      </c>
      <c r="N56" s="15" t="str">
        <f>IF(_2023_08\Expected_Income[[#This Row],[Source]]="Advantage",$M$43,IF(_2023_08\Expected_Income[[#This Row],[Source]]="Saline", $M$44, " "))</f>
        <v xml:space="preserve"> </v>
      </c>
      <c r="O56" s="15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6" s="15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7" spans="2:16" x14ac:dyDescent="0.25">
      <c r="B57" s="6"/>
      <c r="C57" s="4"/>
      <c r="D57" s="4"/>
      <c r="E57" s="4"/>
      <c r="F57" s="4"/>
      <c r="G57" s="10"/>
      <c r="I57" s="8"/>
      <c r="J57" s="7"/>
      <c r="K57" s="17" t="str">
        <f>IF(_2023_08\Expected_Income[[#This Row],[Source]]="Advantage",$J$43,IF(_2023_08\Expected_Income[[#This Row],[Source]]="Saline", $J$44, " "))</f>
        <v xml:space="preserve"> </v>
      </c>
      <c r="L57" s="17" t="str">
        <f>IF(_2023_08\Expected_Income[[#This Row],[Source]]="Advantage",_2023_08\Expected_Income[[#This Row],[Gross Income]]*$K$43,IF(_2023_08\Expected_Income[[#This Row],[Source]]="Saline", _2023_08\Expected_Income[[#This Row],[Gross Income]]*$K$44, " "))</f>
        <v xml:space="preserve"> </v>
      </c>
      <c r="M57" s="20" t="str">
        <f>IF(_2023_08\Expected_Income[[#This Row],[Source]]="Advantage",$L$43,IF(_2023_08\Expected_Income[[#This Row],[Source]]="Saline", $L$44, " "))</f>
        <v xml:space="preserve"> </v>
      </c>
      <c r="N57" s="17" t="str">
        <f>IF(_2023_08\Expected_Income[[#This Row],[Source]]="Advantage",$M$43,IF(_2023_08\Expected_Income[[#This Row],[Source]]="Saline", $M$44, " "))</f>
        <v xml:space="preserve"> </v>
      </c>
      <c r="O57" s="17" t="str">
        <f>IF(_2023_08\Expected_Income[[#This Row],[Source]]&lt;&gt; "", $J$45*(_2023_08\Expected_Income[[#This Row],[Gross Income]]-_2023_08\Expected_Income[[#This Row],[Retirement Contributions]]-_2023_08\Expected_Income[[#This Row],[Healthcare Deductions]]-_2023_08\Expected_Income[[#This Row],[Other Payroll Deductions]]), "")</f>
        <v/>
      </c>
      <c r="P57" s="17" t="str">
        <f>IF(_2023_08\Expected_Income[[#This Row],[Source]]&lt;&gt;"", _2023_08\Expected_Income[[#This Row],[Gross Income]]-_2023_08\Expected_Income[[#This Row],[Retirement Contributions]]-_2023_08\Expected_Income[[#This Row],[Healthcare Deductions]]-_2023_08\Expected_Income[[#This Row],[Other Payroll Deductions]]-_2023_08\Expected_Income[[#This Row],[Taxes]], "")</f>
        <v/>
      </c>
    </row>
    <row r="58" spans="2:16" x14ac:dyDescent="0.25">
      <c r="B58" s="6"/>
      <c r="C58" s="4"/>
      <c r="D58" s="4"/>
      <c r="E58" s="4"/>
      <c r="F58" s="4"/>
      <c r="G58" s="10"/>
    </row>
    <row r="59" spans="2:16" ht="23.25" x14ac:dyDescent="0.35">
      <c r="B59" s="6"/>
      <c r="C59" s="4"/>
      <c r="D59" s="4"/>
      <c r="E59" s="4"/>
      <c r="F59" s="4"/>
      <c r="G59" s="10"/>
      <c r="I59" s="2" t="s">
        <v>31</v>
      </c>
    </row>
    <row r="60" spans="2:16" x14ac:dyDescent="0.25">
      <c r="B60" s="6"/>
      <c r="C60" s="4"/>
      <c r="D60" s="4"/>
      <c r="E60" s="4"/>
      <c r="F60" s="4"/>
      <c r="G60" s="10"/>
      <c r="I60" s="1" t="s">
        <v>9</v>
      </c>
      <c r="J60" s="1" t="s">
        <v>21</v>
      </c>
      <c r="K60" s="1" t="s">
        <v>24</v>
      </c>
      <c r="L60" s="1" t="s">
        <v>25</v>
      </c>
      <c r="M60" s="1" t="s">
        <v>28</v>
      </c>
      <c r="N60" s="1" t="s">
        <v>26</v>
      </c>
      <c r="O60" s="1" t="s">
        <v>29</v>
      </c>
      <c r="P60" s="1" t="s">
        <v>27</v>
      </c>
    </row>
    <row r="61" spans="2:16" x14ac:dyDescent="0.25">
      <c r="B61" s="6"/>
      <c r="C61" s="4"/>
      <c r="D61" s="4"/>
      <c r="E61" s="4"/>
      <c r="F61" s="4"/>
      <c r="G61" s="10"/>
      <c r="I61" s="6"/>
      <c r="J61" s="4"/>
      <c r="K61" s="5"/>
      <c r="L61" s="5"/>
      <c r="M61" s="10"/>
      <c r="N61" s="5"/>
      <c r="O61" s="5"/>
      <c r="P61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2" spans="2:16" x14ac:dyDescent="0.25">
      <c r="B62" s="6"/>
      <c r="C62" s="4"/>
      <c r="D62" s="4"/>
      <c r="E62" s="4"/>
      <c r="F62" s="4"/>
      <c r="G62" s="10"/>
      <c r="I62" s="6"/>
      <c r="J62" s="4"/>
      <c r="K62" s="5"/>
      <c r="L62" s="5"/>
      <c r="M62" s="10"/>
      <c r="N62" s="5"/>
      <c r="O62" s="5"/>
      <c r="P62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3" spans="2:16" x14ac:dyDescent="0.25">
      <c r="B63" s="6"/>
      <c r="C63" s="4"/>
      <c r="D63" s="4"/>
      <c r="E63" s="4"/>
      <c r="F63" s="4"/>
      <c r="G63" s="10"/>
      <c r="I63" s="6"/>
      <c r="J63" s="4"/>
      <c r="K63" s="5"/>
      <c r="L63" s="5"/>
      <c r="M63" s="10"/>
      <c r="N63" s="5"/>
      <c r="O63" s="5"/>
      <c r="P63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4" spans="2:16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10"/>
      <c r="N64" s="5"/>
      <c r="O64" s="5"/>
      <c r="P64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5" spans="2:16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10"/>
      <c r="N65" s="5"/>
      <c r="O65" s="5"/>
      <c r="P65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6" spans="2:16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10"/>
      <c r="N66" s="5"/>
      <c r="O66" s="5"/>
      <c r="P66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7" spans="2:16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10"/>
      <c r="N67" s="5"/>
      <c r="O67" s="5"/>
      <c r="P67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8" spans="2:16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10"/>
      <c r="N68" s="5"/>
      <c r="O68" s="5"/>
      <c r="P68" s="15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69" spans="2:16" x14ac:dyDescent="0.25">
      <c r="B69" s="6"/>
      <c r="C69" s="4"/>
      <c r="D69" s="4"/>
      <c r="E69" s="4"/>
      <c r="F69" s="4"/>
      <c r="G69" s="10"/>
      <c r="I69" s="8"/>
      <c r="J69" s="7"/>
      <c r="K69" s="9"/>
      <c r="L69" s="9"/>
      <c r="M69" s="12"/>
      <c r="N69" s="9"/>
      <c r="O69" s="9"/>
      <c r="P69" s="17">
        <f>_2023_08\Actual_Income[[#This Row],[Gross Income]]-_2023_08\Actual_Income[[#This Row],[Retirement Contributions]]-_2023_08\Actual_Income[[#This Row],[Healthcare Deductions]]-_2023_08\Actual_Income[[#This Row],[Other Payroll Deductions]]-_2023_08\Actual_Income[[#This Row],[Taxes]]</f>
        <v>0</v>
      </c>
    </row>
    <row r="70" spans="2:16" x14ac:dyDescent="0.25">
      <c r="B70" s="6"/>
      <c r="C70" s="4"/>
      <c r="D70" s="4"/>
      <c r="E70" s="4"/>
      <c r="F70" s="4"/>
      <c r="G70" s="10"/>
    </row>
    <row r="71" spans="2:16" x14ac:dyDescent="0.25">
      <c r="B71" s="6"/>
      <c r="C71" s="4"/>
      <c r="D71" s="4"/>
      <c r="E71" s="4"/>
      <c r="F71" s="4"/>
      <c r="G71" s="10"/>
    </row>
    <row r="72" spans="2:16" x14ac:dyDescent="0.25">
      <c r="B72" s="6"/>
      <c r="C72" s="4"/>
      <c r="D72" s="4"/>
      <c r="E72" s="4"/>
      <c r="F72" s="4"/>
      <c r="G72" s="10"/>
    </row>
    <row r="73" spans="2:16" x14ac:dyDescent="0.25">
      <c r="B73" s="6"/>
      <c r="C73" s="4"/>
      <c r="D73" s="4"/>
      <c r="E73" s="4"/>
      <c r="F73" s="4"/>
      <c r="G73" s="10"/>
    </row>
    <row r="74" spans="2:16" x14ac:dyDescent="0.25">
      <c r="B74" s="6"/>
      <c r="C74" s="4"/>
      <c r="D74" s="4"/>
      <c r="E74" s="4"/>
      <c r="F74" s="4"/>
      <c r="G74" s="10"/>
    </row>
    <row r="75" spans="2:16" x14ac:dyDescent="0.25">
      <c r="B75" s="6"/>
      <c r="C75" s="4"/>
      <c r="D75" s="4"/>
      <c r="E75" s="4"/>
      <c r="F75" s="4"/>
      <c r="G75" s="10"/>
    </row>
    <row r="76" spans="2:16" x14ac:dyDescent="0.25">
      <c r="B76" s="6"/>
      <c r="C76" s="4"/>
      <c r="D76" s="4"/>
      <c r="E76" s="4"/>
      <c r="F76" s="4"/>
      <c r="G76" s="10"/>
    </row>
    <row r="77" spans="2:16" x14ac:dyDescent="0.25">
      <c r="B77" s="6"/>
      <c r="C77" s="4"/>
      <c r="D77" s="4"/>
      <c r="E77" s="4"/>
      <c r="F77" s="4"/>
      <c r="G77" s="10"/>
    </row>
    <row r="78" spans="2:16" x14ac:dyDescent="0.25">
      <c r="B78" s="6"/>
      <c r="C78" s="4"/>
      <c r="D78" s="4"/>
      <c r="E78" s="4"/>
      <c r="F78" s="4"/>
      <c r="G78" s="10"/>
    </row>
    <row r="79" spans="2:16" x14ac:dyDescent="0.25">
      <c r="B79" s="6"/>
      <c r="C79" s="4"/>
      <c r="D79" s="4"/>
      <c r="E79" s="4"/>
      <c r="F79" s="4"/>
      <c r="G79" s="10"/>
    </row>
    <row r="80" spans="2:16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conditionalFormatting sqref="G55:G120">
    <cfRule type="expression" dxfId="196" priority="24">
      <formula>AND(INDIRECT("_" &amp; SUBSTITUTE($C$2,"-","_") &amp; "\Transactions[@Category]") &lt;&gt; "Savings", INDIRECT("_" &amp; SUBSTITUTE($C$2,"-","_") &amp; "\Transactions[@Type]") = "Credit")</formula>
    </cfRule>
    <cfRule type="expression" dxfId="195" priority="25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194" priority="20">
      <formula>AND(INDIRECT("_" &amp; SUBSTITUTE($C$2,"-","_") &amp; "\Transactions[@Category]") &lt;&gt; "Savings", INDIRECT("_" &amp; SUBSTITUTE($C$2,"-","_") &amp; "\Transactions[@Type]") = "Credit")</formula>
    </cfRule>
    <cfRule type="expression" dxfId="193" priority="21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2">
    <cfRule type="expression" dxfId="192" priority="9">
      <formula>AND(INDIRECT("_" &amp; SUBSTITUTE($C$2,"-","_") &amp; "\Budgets[@Type]")&lt;&gt;"Saving", INDIRECT("_" &amp; SUBSTITUTE($C$2,"-","_") &amp; "\Budgets[@[Remaining Budget]]")&lt;0)</formula>
    </cfRule>
    <cfRule type="expression" dxfId="191" priority="10">
      <formula>AND(INDIRECT("_" &amp; SUBSTITUTE($C$2,"-","_") &amp; "\Budgets[@Type]")="Saving", INDIRECT("_" &amp; SUBSTITUTE($C$2,"-","_") &amp; "\Budgets[@[Remaining Budget]]")&lt;0)</formula>
    </cfRule>
    <cfRule type="expression" dxfId="190" priority="11">
      <formula>AND(INDIRECT("_" &amp; SUBSTITUTE($C$2,"-","_") &amp; "\Budgets[@Type]")="Saving", INDIRECT("_" &amp; SUBSTITUTE($C$2,"-","_") &amp; "\Budgets[@[Remaining Budget]]")&gt;0)</formula>
    </cfRule>
  </conditionalFormatting>
  <conditionalFormatting sqref="E5 E10">
    <cfRule type="expression" dxfId="189" priority="5">
      <formula>E5&lt;0</formula>
    </cfRule>
    <cfRule type="expression" dxfId="188" priority="6">
      <formula>E5&gt;0</formula>
    </cfRule>
  </conditionalFormatting>
  <conditionalFormatting sqref="E6:E9">
    <cfRule type="expression" dxfId="187" priority="7">
      <formula>E6&lt;0</formula>
    </cfRule>
    <cfRule type="expression" dxfId="186" priority="8">
      <formula>E6&gt;0</formula>
    </cfRule>
  </conditionalFormatting>
  <conditionalFormatting sqref="E14">
    <cfRule type="expression" dxfId="185" priority="1">
      <formula>E14&lt;0</formula>
    </cfRule>
    <cfRule type="expression" dxfId="184" priority="2">
      <formula>E14&gt;0</formula>
    </cfRule>
  </conditionalFormatting>
  <conditionalFormatting sqref="E13 E15">
    <cfRule type="expression" dxfId="183" priority="3">
      <formula>E13&lt;0</formula>
    </cfRule>
    <cfRule type="expression" dxfId="182" priority="4">
      <formula>E13&gt;0</formula>
    </cfRule>
  </conditionalFormatting>
  <dataValidations count="5">
    <dataValidation type="list" allowBlank="1" showInputMessage="1" showErrorMessage="1" sqref="F20:F120" xr:uid="{83B67BE0-B842-450F-BECA-FB1D647D4033}">
      <formula1>"Credit,Debit"</formula1>
    </dataValidation>
    <dataValidation type="list" allowBlank="1" showInputMessage="1" showErrorMessage="1" sqref="J26:J39" xr:uid="{EFFF1205-F174-4D73-8E1F-EEB5893F5830}">
      <formula1>"Spending,Reserve,Savings,Loan,Safety Net,Retirement"</formula1>
    </dataValidation>
    <dataValidation type="list" allowBlank="1" showInputMessage="1" showErrorMessage="1" sqref="E20:E120" xr:uid="{BF2E13A0-8087-4CC9-817F-491518F3896C}">
      <formula1>INDIRECT("_" &amp; SUBSTITUTE($C$2,"-","_") &amp; "\Budgets[Name]")</formula1>
    </dataValidation>
    <dataValidation type="list" showInputMessage="1" showErrorMessage="1" sqref="J20" xr:uid="{CB0606B8-6388-44A4-AA12-A82DA06F82E0}">
      <formula1>"Rolling,Fixed,Saving"</formula1>
    </dataValidation>
    <dataValidation type="list" showInputMessage="1" showErrorMessage="1" sqref="J6:J19" xr:uid="{1070C702-A09B-4984-B90A-48F29D139020}">
      <formula1>"Rolling,Fixed"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BBE1B-6788-44F0-8E61-08800FE0903A}">
  <sheetPr codeName="Sheet21"/>
  <dimension ref="B2:P120"/>
  <sheetViews>
    <sheetView workbookViewId="0">
      <selection activeCell="G12" sqref="G12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17.7109375" customWidth="1"/>
    <col min="11" max="16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2023-07</v>
      </c>
      <c r="D2" s="1" t="s">
        <v>14</v>
      </c>
      <c r="E2" t="str">
        <f ca="1">_xlfn.CONCAT(IF(RIGHT(C2,2)="01", VALUE(LEFT(C2,4))-1, LEFT(C2,4)), "-", IF(RIGHT(C2,2)="01","12",TEXT(VALUE(RIGHT(C2,2))-1,"00")))</f>
        <v>2023-06</v>
      </c>
    </row>
    <row r="4" spans="2:16" ht="23.25" x14ac:dyDescent="0.35">
      <c r="B4" s="2" t="s">
        <v>6</v>
      </c>
      <c r="C4" s="1" t="s">
        <v>36</v>
      </c>
      <c r="D4" s="1" t="s">
        <v>37</v>
      </c>
      <c r="E4" s="1" t="s">
        <v>38</v>
      </c>
      <c r="I4" s="2" t="s">
        <v>0</v>
      </c>
    </row>
    <row r="5" spans="2:16" x14ac:dyDescent="0.25">
      <c r="B5" s="1" t="s">
        <v>32</v>
      </c>
      <c r="C5" s="3">
        <f ca="1">SUM(INDIRECT("_" &amp; SUBSTITUTE($C$2,"-","_") &amp; "\Expected_Income[Gross Income]"))</f>
        <v>0</v>
      </c>
      <c r="D5" s="3">
        <f ca="1">SUM(INDIRECT("_" &amp; SUBSTITUTE($C$2,"-","_") &amp; "\Actual_Income[Gross Income]"))</f>
        <v>0</v>
      </c>
      <c r="E5" s="14">
        <f ca="1">D5-C5</f>
        <v>0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33</v>
      </c>
      <c r="C6" s="3">
        <f ca="1">SUM(INDIRECT("_" &amp; SUBSTITUTE($C$2,"-","_") &amp; "\Expected_Income[Retirement Contributions]"))</f>
        <v>0</v>
      </c>
      <c r="D6" s="3">
        <f ca="1">SUM(INDIRECT("_" &amp; SUBSTITUTE($C$2,"-","_") &amp; "\Actual_Income[Retirement Contributions]"))</f>
        <v>0</v>
      </c>
      <c r="E6" s="14">
        <f ca="1">D6-C6</f>
        <v>0</v>
      </c>
      <c r="I6" s="4"/>
      <c r="J6" s="4"/>
      <c r="K6" s="5"/>
      <c r="L6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6" s="5"/>
      <c r="N6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6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6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>
        <f ca="1">SUM(INDIRECT("_" &amp; SUBSTITUTE($C$2,"-","_") &amp; "\Actual_Income[Healthcare Deductions]"))</f>
        <v>0</v>
      </c>
      <c r="E7" s="14">
        <f ca="1">D7-C7</f>
        <v>0</v>
      </c>
      <c r="I7" s="4"/>
      <c r="J7" s="4"/>
      <c r="K7" s="5"/>
      <c r="L7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7" s="5"/>
      <c r="N7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7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7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>
        <f ca="1">SUM(INDIRECT("_" &amp; SUBSTITUTE($C$2,"-","_") &amp; "\Actual_Income[Other Payroll Deductions]"))</f>
        <v>0</v>
      </c>
      <c r="E8" s="14">
        <f t="shared" ref="E8" ca="1" si="0">D8-C8</f>
        <v>0</v>
      </c>
      <c r="I8" s="4"/>
      <c r="J8" s="4"/>
      <c r="K8" s="5"/>
      <c r="L8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8" s="5"/>
      <c r="N8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8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8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9" spans="2:16" x14ac:dyDescent="0.25">
      <c r="B9" s="1" t="s">
        <v>34</v>
      </c>
      <c r="C9" s="14">
        <f ca="1">SUM(INDIRECT("_" &amp; SUBSTITUTE($C$2,"-","_") &amp; "\Expected_Income[Taxes]"))</f>
        <v>0</v>
      </c>
      <c r="D9" s="3">
        <f ca="1">SUM(INDIRECT("_" &amp; SUBSTITUTE($C$2,"-","_") &amp; "\Actual_Income[Taxes]"))</f>
        <v>0</v>
      </c>
      <c r="E9" s="14">
        <f ca="1">D9-C9</f>
        <v>0</v>
      </c>
      <c r="I9" s="4"/>
      <c r="J9" s="4"/>
      <c r="K9" s="5"/>
      <c r="L9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9" s="5"/>
      <c r="N9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9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9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0" spans="2:16" x14ac:dyDescent="0.25">
      <c r="B10" s="1" t="s">
        <v>35</v>
      </c>
      <c r="C10" s="14">
        <f ca="1">SUM(INDIRECT("_" &amp; SUBSTITUTE($C$2,"-","_") &amp; "\Expected_Income[Net Income]"))</f>
        <v>0</v>
      </c>
      <c r="D10" s="3">
        <f ca="1">SUM(INDIRECT("_" &amp; SUBSTITUTE($C$2,"-","_") &amp; "\Actual_Income[Net Income]"))</f>
        <v>0</v>
      </c>
      <c r="E10" s="14">
        <f ca="1">D10-C10</f>
        <v>0</v>
      </c>
      <c r="I10" s="4"/>
      <c r="J10" s="4"/>
      <c r="K10" s="5"/>
      <c r="L10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0" s="5"/>
      <c r="N10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0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0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1" spans="2:16" x14ac:dyDescent="0.25">
      <c r="F11" s="1"/>
      <c r="G11" s="3"/>
      <c r="I11" s="4"/>
      <c r="J11" s="4"/>
      <c r="K11" s="5"/>
      <c r="L11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1" s="5"/>
      <c r="N11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1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1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2" spans="2:16" x14ac:dyDescent="0.25">
      <c r="C12" s="1" t="s">
        <v>43</v>
      </c>
      <c r="D12" s="1" t="s">
        <v>37</v>
      </c>
      <c r="E12" s="1" t="s">
        <v>38</v>
      </c>
      <c r="F12" s="1"/>
      <c r="G12" s="3"/>
      <c r="I12" s="4"/>
      <c r="J12" s="4"/>
      <c r="K12" s="5"/>
      <c r="L12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2" s="5"/>
      <c r="N12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2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2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3" spans="2:16" x14ac:dyDescent="0.25">
      <c r="B13" s="1" t="s">
        <v>41</v>
      </c>
      <c r="C13" s="14">
        <f ca="1">SUMIF(INDIRECT("_" &amp; SUBSTITUTE($C$2,"-","_") &amp; "\Budgets[Type]"), "&lt;&gt;Saving", INDIRECT("_" &amp; SUBSTITUTE($C$2,"-","_") &amp; "\Budgets[Amount]"))</f>
        <v>0</v>
      </c>
      <c r="D13" s="14">
        <f ca="1">SUMIF(INDIRECT("_" &amp; SUBSTITUTE($C$2,"-","_") &amp; "\Budgets[Type]"), "&lt;&gt;Saving", INDIRECT("_" &amp; SUBSTITUTE($C$2,"-","_") &amp; "\Budgets[Total Debits]"))</f>
        <v>0</v>
      </c>
      <c r="E13" s="14">
        <f ca="1">D13-C13</f>
        <v>0</v>
      </c>
      <c r="F13" s="1"/>
      <c r="G13" s="3"/>
      <c r="I13" s="4"/>
      <c r="J13" s="4"/>
      <c r="K13" s="5"/>
      <c r="L13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3" s="5"/>
      <c r="N13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3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3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4" spans="2:16" x14ac:dyDescent="0.25">
      <c r="B14" s="1" t="s">
        <v>42</v>
      </c>
      <c r="C14" s="14">
        <f ca="1">SUMIF(INDIRECT("_" &amp; SUBSTITUTE($C$2,"-","_") &amp; "\Budgets[Type]"), "=Saving", INDIRECT("_" &amp; SUBSTITUTE($C$2,"-","_") &amp; "\Budgets[Amount]"))</f>
        <v>0</v>
      </c>
      <c r="D14" s="14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0</v>
      </c>
      <c r="E14" s="14">
        <f ca="1">D14-C14</f>
        <v>0</v>
      </c>
      <c r="F14" s="1"/>
      <c r="G14" s="3"/>
      <c r="I14" s="4"/>
      <c r="J14" s="4"/>
      <c r="K14" s="5"/>
      <c r="L14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4" s="5"/>
      <c r="N14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4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4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5" spans="2:16" x14ac:dyDescent="0.25">
      <c r="B15" s="1" t="s">
        <v>47</v>
      </c>
      <c r="C15" s="14">
        <f ca="1">C13+C14</f>
        <v>0</v>
      </c>
      <c r="D15" s="14"/>
      <c r="E15" s="14"/>
      <c r="F15" s="1"/>
      <c r="G15" s="3"/>
      <c r="I15" s="4"/>
      <c r="J15" s="4"/>
      <c r="K15" s="5"/>
      <c r="L15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5" s="5"/>
      <c r="N15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5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5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6" spans="2:16" x14ac:dyDescent="0.25">
      <c r="B16" s="1" t="s">
        <v>46</v>
      </c>
      <c r="C16" s="14">
        <f ca="1">C10-C13-C14</f>
        <v>0</v>
      </c>
      <c r="D16" s="14"/>
      <c r="E16" s="14"/>
      <c r="I16" s="4"/>
      <c r="J16" s="4"/>
      <c r="K16" s="5"/>
      <c r="L16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6" s="5"/>
      <c r="N16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6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6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7" spans="2:16" x14ac:dyDescent="0.25">
      <c r="I17" s="4"/>
      <c r="J17" s="4"/>
      <c r="K17" s="5"/>
      <c r="L17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7" s="5"/>
      <c r="N17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7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7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8" s="5"/>
      <c r="N18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8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8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19" s="5"/>
      <c r="N19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19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19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20" s="5"/>
      <c r="N20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20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20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21" s="9"/>
      <c r="N21" s="13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21" s="13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21" s="13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IF(_2023_07\Budgets[[#This Row],[Type]]&lt;&gt;"Rolling", "", IF(NOT(ISBLANK(_2023_07\Budgets[[#This Row],[Override Rollover Amount]])), _2023_07\Budgets[[#This Row],[Override Rollover Amount]], SUMIF(INDIRECT("_" &amp; SUBSTITUTE($E$2,"-","_") &amp; "\Budgets[Name]"),_2023_07\Budgets[[#This Row],[Name]],INDIRECT("_" &amp; SUBSTITUTE($E$2,"-","_") &amp; "\Budgets[Remaining Budget]"))))</f>
        <v/>
      </c>
      <c r="M22" s="5"/>
      <c r="N22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"\Transactions[Type]"),"Debit")</f>
        <v>0</v>
      </c>
      <c r="O22" s="11">
        <f ca="1">SUMIFS(INDIRECT("_" &amp; SUBSTITUTE($C$2,"-","_") &amp; "\Transactions[Amount]"), INDIRECT("_" &amp; SUBSTITUTE($C$2,"-","_") &amp; "\Transactions[Category]"),_2023_07\Budgets[[#This Row],[Name]], INDIRECT("_" &amp; SUBSTITUTE($C$2,"-","_") &amp; "\Transactions[Type]"),"Credit")</f>
        <v>0</v>
      </c>
      <c r="P22" s="11">
        <f ca="1">IF(_2023_07\Budgets[[#This Row],[Type]]&lt;&gt;"Saving", _2023_07\Budgets[[#This Row],[Amount]]+IF(NOT(_2023_07\Budgets[[#This Row],[Rollover From Last Month]]=""),_2023_07\Budgets[[#This Row],[Rollover From Last Month]],0)-_2023_07\Budgets[[#This Row],[Total Debits]]+_2023_07\Budgets[[#This Row],[Total Credits]], _2023_07\Budgets[[#This Row],[Amount]]+IF(NOT(_2023_07\Budgets[[#This Row],[Rollover From Last Month]]=""),_2023_07\Budgets[[#This Row],[Rollover From Last Month]],0)+_2023_07\Budgets[[#This Row],[Total Debits]]-_2023_07\Budgets[[#This Row],[Total Credits]])</f>
        <v>0</v>
      </c>
    </row>
    <row r="23" spans="2:16" x14ac:dyDescent="0.25">
      <c r="B23" s="6"/>
      <c r="C23" s="4"/>
      <c r="D23" s="4"/>
      <c r="E23" s="4"/>
      <c r="F23" s="4"/>
      <c r="G23" s="10"/>
    </row>
    <row r="24" spans="2:16" ht="23.25" x14ac:dyDescent="0.35">
      <c r="B24" s="6"/>
      <c r="C24" s="4"/>
      <c r="D24" s="4"/>
      <c r="E24" s="4"/>
      <c r="F24" s="4"/>
      <c r="G24" s="10"/>
      <c r="I24" s="2" t="s">
        <v>20</v>
      </c>
    </row>
    <row r="25" spans="2:16" x14ac:dyDescent="0.25">
      <c r="B25" s="6"/>
      <c r="C25" s="4"/>
      <c r="D25" s="4"/>
      <c r="E25" s="4"/>
      <c r="F25" s="4"/>
      <c r="G25" s="10"/>
      <c r="I25" s="1" t="s">
        <v>5</v>
      </c>
      <c r="J25" s="1" t="s">
        <v>12</v>
      </c>
      <c r="K25" s="1" t="s">
        <v>15</v>
      </c>
      <c r="L25" s="1" t="s">
        <v>16</v>
      </c>
      <c r="M25" s="1" t="s">
        <v>17</v>
      </c>
      <c r="N25" s="1" t="s">
        <v>18</v>
      </c>
      <c r="O25" s="1" t="s">
        <v>19</v>
      </c>
    </row>
    <row r="26" spans="2:16" x14ac:dyDescent="0.25">
      <c r="B26" s="6"/>
      <c r="C26" s="4"/>
      <c r="D26" s="4"/>
      <c r="E26" s="4"/>
      <c r="F26" s="4"/>
      <c r="G26" s="10"/>
      <c r="I26" s="4"/>
      <c r="J26" s="4"/>
      <c r="K26" s="5"/>
      <c r="L26" s="5"/>
      <c r="M26" s="5"/>
      <c r="N26" s="5"/>
      <c r="O26" s="5"/>
    </row>
    <row r="27" spans="2:16" x14ac:dyDescent="0.25">
      <c r="B27" s="6"/>
      <c r="C27" s="4"/>
      <c r="D27" s="4"/>
      <c r="E27" s="4"/>
      <c r="F27" s="4"/>
      <c r="G27" s="10"/>
      <c r="I27" s="4"/>
      <c r="J27" s="4"/>
      <c r="K27" s="5"/>
      <c r="L27" s="5"/>
      <c r="M27" s="5"/>
      <c r="N27" s="5"/>
      <c r="O27" s="5"/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6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6" x14ac:dyDescent="0.25">
      <c r="B34" s="6"/>
      <c r="C34" s="4"/>
      <c r="D34" s="4"/>
      <c r="E34" s="4"/>
      <c r="F34" s="4"/>
      <c r="G34" s="10"/>
      <c r="I34" s="7"/>
      <c r="J34" s="7"/>
      <c r="K34" s="9"/>
      <c r="L34" s="9"/>
      <c r="M34" s="9"/>
      <c r="N34" s="9"/>
      <c r="O34" s="9"/>
    </row>
    <row r="35" spans="2:16" x14ac:dyDescent="0.25">
      <c r="B35" s="6"/>
      <c r="C35" s="4"/>
      <c r="D35" s="4"/>
      <c r="E35" s="4"/>
      <c r="F35" s="4"/>
      <c r="G35" s="10"/>
      <c r="I35" s="7"/>
      <c r="J35" s="7"/>
      <c r="K35" s="9"/>
      <c r="L35" s="5"/>
      <c r="M35" s="9"/>
      <c r="N35" s="9"/>
      <c r="O35" s="9"/>
    </row>
    <row r="36" spans="2:16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6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6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6" x14ac:dyDescent="0.25">
      <c r="B39" s="6"/>
      <c r="C39" s="4"/>
      <c r="D39" s="4"/>
      <c r="E39" s="4"/>
      <c r="F39" s="4"/>
      <c r="G39" s="10"/>
      <c r="I39" s="4"/>
      <c r="J39" s="4"/>
      <c r="K39" s="5"/>
      <c r="L39" s="5"/>
      <c r="M39" s="5"/>
      <c r="N39" s="5"/>
      <c r="O39" s="5"/>
    </row>
    <row r="40" spans="2:16" x14ac:dyDescent="0.25">
      <c r="B40" s="6"/>
      <c r="C40" s="4"/>
      <c r="D40" s="4"/>
      <c r="E40" s="4"/>
      <c r="F40" s="4"/>
      <c r="G40" s="10"/>
    </row>
    <row r="41" spans="2:16" ht="23.25" x14ac:dyDescent="0.35">
      <c r="B41" s="6"/>
      <c r="C41" s="4"/>
      <c r="D41" s="4"/>
      <c r="E41" s="4"/>
      <c r="F41" s="4"/>
      <c r="G41" s="10"/>
      <c r="I41" s="2" t="s">
        <v>40</v>
      </c>
    </row>
    <row r="42" spans="2:16" x14ac:dyDescent="0.25">
      <c r="B42" s="6"/>
      <c r="C42" s="4"/>
      <c r="D42" s="4"/>
      <c r="E42" s="4"/>
      <c r="F42" s="4"/>
      <c r="G42" s="10"/>
      <c r="J42" s="1" t="s">
        <v>24</v>
      </c>
      <c r="K42" s="1" t="s">
        <v>25</v>
      </c>
      <c r="L42" s="1" t="s">
        <v>28</v>
      </c>
      <c r="M42" s="1" t="s">
        <v>26</v>
      </c>
    </row>
    <row r="43" spans="2:16" x14ac:dyDescent="0.25">
      <c r="B43" s="6"/>
      <c r="C43" s="4"/>
      <c r="D43" s="4"/>
      <c r="E43" s="4"/>
      <c r="F43" s="4"/>
      <c r="G43" s="10"/>
      <c r="I43" s="1"/>
      <c r="J43" s="10"/>
      <c r="K43" s="21"/>
      <c r="L43" s="10"/>
      <c r="M43" s="10"/>
    </row>
    <row r="44" spans="2:16" x14ac:dyDescent="0.25">
      <c r="B44" s="6"/>
      <c r="C44" s="4"/>
      <c r="D44" s="4"/>
      <c r="E44" s="4"/>
      <c r="F44" s="4"/>
      <c r="G44" s="10"/>
      <c r="I44" s="1"/>
      <c r="J44" s="10"/>
      <c r="K44" s="21"/>
      <c r="L44" s="10"/>
      <c r="M44" s="10"/>
    </row>
    <row r="45" spans="2:16" x14ac:dyDescent="0.25">
      <c r="B45" s="6"/>
      <c r="C45" s="4"/>
      <c r="D45" s="4"/>
      <c r="E45" s="4"/>
      <c r="F45" s="4"/>
      <c r="G45" s="10"/>
      <c r="I45" s="1" t="s">
        <v>39</v>
      </c>
      <c r="J45" s="21"/>
    </row>
    <row r="46" spans="2:16" x14ac:dyDescent="0.25">
      <c r="B46" s="6"/>
      <c r="C46" s="4"/>
      <c r="D46" s="4"/>
      <c r="E46" s="4"/>
      <c r="F46" s="4"/>
      <c r="G46" s="10"/>
    </row>
    <row r="47" spans="2:16" ht="23.25" x14ac:dyDescent="0.35">
      <c r="B47" s="6"/>
      <c r="C47" s="4"/>
      <c r="D47" s="4"/>
      <c r="E47" s="4"/>
      <c r="F47" s="4"/>
      <c r="G47" s="10"/>
      <c r="I47" s="2" t="s">
        <v>30</v>
      </c>
    </row>
    <row r="48" spans="2:16" x14ac:dyDescent="0.25">
      <c r="B48" s="6"/>
      <c r="C48" s="4"/>
      <c r="D48" s="4"/>
      <c r="E48" s="4"/>
      <c r="F48" s="4"/>
      <c r="G48" s="10"/>
      <c r="I48" s="1" t="s">
        <v>9</v>
      </c>
      <c r="J48" s="1" t="s">
        <v>21</v>
      </c>
      <c r="K48" s="1" t="s">
        <v>24</v>
      </c>
      <c r="L48" s="1" t="s">
        <v>25</v>
      </c>
      <c r="M48" s="1" t="s">
        <v>28</v>
      </c>
      <c r="N48" s="1" t="s">
        <v>26</v>
      </c>
      <c r="O48" s="1" t="s">
        <v>29</v>
      </c>
      <c r="P48" s="1" t="s">
        <v>27</v>
      </c>
    </row>
    <row r="49" spans="2:16" x14ac:dyDescent="0.25">
      <c r="B49" s="6"/>
      <c r="C49" s="4"/>
      <c r="D49" s="4"/>
      <c r="E49" s="4"/>
      <c r="F49" s="4"/>
      <c r="G49" s="10"/>
      <c r="I49" s="6"/>
      <c r="J49" s="4"/>
      <c r="K49" s="15" t="str">
        <f>IF(_2023_07\Expected_Income[[#This Row],[Source]]="Advantage",$J$43,IF(_2023_07\Expected_Income[[#This Row],[Source]]="Saline", $J$44, " "))</f>
        <v xml:space="preserve"> </v>
      </c>
      <c r="L49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49" s="16" t="str">
        <f>IF(_2023_07\Expected_Income[[#This Row],[Source]]="Advantage",$L$43,IF(_2023_07\Expected_Income[[#This Row],[Source]]="Saline", $L$44, " "))</f>
        <v xml:space="preserve"> </v>
      </c>
      <c r="N49" s="15" t="str">
        <f>IF(_2023_07\Expected_Income[[#This Row],[Source]]="Advantage",$M$43,IF(_2023_07\Expected_Income[[#This Row],[Source]]="Saline", $M$44, " "))</f>
        <v xml:space="preserve"> </v>
      </c>
      <c r="O49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49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0" spans="2:16" x14ac:dyDescent="0.25">
      <c r="B50" s="6"/>
      <c r="C50" s="4"/>
      <c r="D50" s="4"/>
      <c r="E50" s="4"/>
      <c r="F50" s="4"/>
      <c r="G50" s="10"/>
      <c r="I50" s="6"/>
      <c r="J50" s="4"/>
      <c r="K50" s="15" t="str">
        <f>IF(_2023_07\Expected_Income[[#This Row],[Source]]="Advantage",$J$43,IF(_2023_07\Expected_Income[[#This Row],[Source]]="Saline", $J$44, " "))</f>
        <v xml:space="preserve"> </v>
      </c>
      <c r="L50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0" s="16" t="str">
        <f>IF(_2023_07\Expected_Income[[#This Row],[Source]]="Advantage",$L$43,IF(_2023_07\Expected_Income[[#This Row],[Source]]="Saline", $L$44, " "))</f>
        <v xml:space="preserve"> </v>
      </c>
      <c r="N50" s="15" t="str">
        <f>IF(_2023_07\Expected_Income[[#This Row],[Source]]="Advantage",$M$43,IF(_2023_07\Expected_Income[[#This Row],[Source]]="Saline", $M$44, " "))</f>
        <v xml:space="preserve"> </v>
      </c>
      <c r="O50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0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1" spans="2:16" x14ac:dyDescent="0.25">
      <c r="B51" s="6"/>
      <c r="C51" s="4"/>
      <c r="D51" s="4"/>
      <c r="E51" s="4"/>
      <c r="F51" s="4"/>
      <c r="G51" s="10"/>
      <c r="I51" s="6"/>
      <c r="J51" s="4"/>
      <c r="K51" s="15" t="str">
        <f>IF(_2023_07\Expected_Income[[#This Row],[Source]]="Advantage",$J$43,IF(_2023_07\Expected_Income[[#This Row],[Source]]="Saline", $J$44, " "))</f>
        <v xml:space="preserve"> </v>
      </c>
      <c r="L51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1" s="16" t="str">
        <f>IF(_2023_07\Expected_Income[[#This Row],[Source]]="Advantage",$L$43,IF(_2023_07\Expected_Income[[#This Row],[Source]]="Saline", $L$44, " "))</f>
        <v xml:space="preserve"> </v>
      </c>
      <c r="N51" s="15" t="str">
        <f>IF(_2023_07\Expected_Income[[#This Row],[Source]]="Advantage",$M$43,IF(_2023_07\Expected_Income[[#This Row],[Source]]="Saline", $M$44, " "))</f>
        <v xml:space="preserve"> </v>
      </c>
      <c r="O51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1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2" spans="2:16" x14ac:dyDescent="0.25">
      <c r="B52" s="6"/>
      <c r="C52" s="4"/>
      <c r="D52" s="4"/>
      <c r="E52" s="4"/>
      <c r="F52" s="4"/>
      <c r="G52" s="10"/>
      <c r="I52" s="6"/>
      <c r="J52" s="4"/>
      <c r="K52" s="15" t="str">
        <f>IF(_2023_07\Expected_Income[[#This Row],[Source]]="Advantage",$J$43,IF(_2023_07\Expected_Income[[#This Row],[Source]]="Saline", $J$44, " "))</f>
        <v xml:space="preserve"> </v>
      </c>
      <c r="L52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2" s="16" t="str">
        <f>IF(_2023_07\Expected_Income[[#This Row],[Source]]="Advantage",$L$43,IF(_2023_07\Expected_Income[[#This Row],[Source]]="Saline", $L$44, " "))</f>
        <v xml:space="preserve"> </v>
      </c>
      <c r="N52" s="15" t="str">
        <f>IF(_2023_07\Expected_Income[[#This Row],[Source]]="Advantage",$M$43,IF(_2023_07\Expected_Income[[#This Row],[Source]]="Saline", $M$44, " "))</f>
        <v xml:space="preserve"> </v>
      </c>
      <c r="O52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2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3" spans="2:16" x14ac:dyDescent="0.25">
      <c r="B53" s="6"/>
      <c r="C53" s="4"/>
      <c r="D53" s="4"/>
      <c r="E53" s="4"/>
      <c r="F53" s="4"/>
      <c r="G53" s="10"/>
      <c r="I53" s="6"/>
      <c r="J53" s="4"/>
      <c r="K53" s="15" t="str">
        <f>IF(_2023_07\Expected_Income[[#This Row],[Source]]="Advantage",$J$43,IF(_2023_07\Expected_Income[[#This Row],[Source]]="Saline", $J$44, " "))</f>
        <v xml:space="preserve"> </v>
      </c>
      <c r="L53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3" s="16" t="str">
        <f>IF(_2023_07\Expected_Income[[#This Row],[Source]]="Advantage",$L$43,IF(_2023_07\Expected_Income[[#This Row],[Source]]="Saline", $L$44, " "))</f>
        <v xml:space="preserve"> </v>
      </c>
      <c r="N53" s="15" t="str">
        <f>IF(_2023_07\Expected_Income[[#This Row],[Source]]="Advantage",$M$43,IF(_2023_07\Expected_Income[[#This Row],[Source]]="Saline", $M$44, " "))</f>
        <v xml:space="preserve"> </v>
      </c>
      <c r="O53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3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4" spans="2:16" x14ac:dyDescent="0.25">
      <c r="B54" s="6"/>
      <c r="C54" s="4"/>
      <c r="D54" s="4"/>
      <c r="E54" s="4"/>
      <c r="F54" s="4"/>
      <c r="G54" s="10"/>
      <c r="I54" s="6"/>
      <c r="J54" s="4"/>
      <c r="K54" s="15" t="str">
        <f>IF(_2023_07\Expected_Income[[#This Row],[Source]]="Advantage",$J$43,IF(_2023_07\Expected_Income[[#This Row],[Source]]="Saline", $J$44, " "))</f>
        <v xml:space="preserve"> </v>
      </c>
      <c r="L54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4" s="16" t="str">
        <f>IF(_2023_07\Expected_Income[[#This Row],[Source]]="Advantage",$L$43,IF(_2023_07\Expected_Income[[#This Row],[Source]]="Saline", $L$44, " "))</f>
        <v xml:space="preserve"> </v>
      </c>
      <c r="N54" s="15" t="str">
        <f>IF(_2023_07\Expected_Income[[#This Row],[Source]]="Advantage",$M$43,IF(_2023_07\Expected_Income[[#This Row],[Source]]="Saline", $M$44, " "))</f>
        <v xml:space="preserve"> </v>
      </c>
      <c r="O54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4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5" spans="2:16" x14ac:dyDescent="0.25">
      <c r="B55" s="6"/>
      <c r="C55" s="4"/>
      <c r="D55" s="4"/>
      <c r="E55" s="4"/>
      <c r="F55" s="4"/>
      <c r="G55" s="10"/>
      <c r="I55" s="6"/>
      <c r="J55" s="4"/>
      <c r="K55" s="15" t="str">
        <f>IF(_2023_07\Expected_Income[[#This Row],[Source]]="Advantage",$J$43,IF(_2023_07\Expected_Income[[#This Row],[Source]]="Saline", $J$44, " "))</f>
        <v xml:space="preserve"> </v>
      </c>
      <c r="L55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5" s="16" t="str">
        <f>IF(_2023_07\Expected_Income[[#This Row],[Source]]="Advantage",$L$43,IF(_2023_07\Expected_Income[[#This Row],[Source]]="Saline", $L$44, " "))</f>
        <v xml:space="preserve"> </v>
      </c>
      <c r="N55" s="15" t="str">
        <f>IF(_2023_07\Expected_Income[[#This Row],[Source]]="Advantage",$M$43,IF(_2023_07\Expected_Income[[#This Row],[Source]]="Saline", $M$44, " "))</f>
        <v xml:space="preserve"> </v>
      </c>
      <c r="O55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5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6" spans="2:16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IF(_2023_07\Expected_Income[[#This Row],[Source]]="Advantage",$J$43,IF(_2023_07\Expected_Income[[#This Row],[Source]]="Saline", $J$44, " "))</f>
        <v xml:space="preserve"> </v>
      </c>
      <c r="L56" s="15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6" s="16" t="str">
        <f>IF(_2023_07\Expected_Income[[#This Row],[Source]]="Advantage",$L$43,IF(_2023_07\Expected_Income[[#This Row],[Source]]="Saline", $L$44, " "))</f>
        <v xml:space="preserve"> </v>
      </c>
      <c r="N56" s="15" t="str">
        <f>IF(_2023_07\Expected_Income[[#This Row],[Source]]="Advantage",$M$43,IF(_2023_07\Expected_Income[[#This Row],[Source]]="Saline", $M$44, " "))</f>
        <v xml:space="preserve"> </v>
      </c>
      <c r="O56" s="15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6" s="15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7" spans="2:16" x14ac:dyDescent="0.25">
      <c r="B57" s="6"/>
      <c r="C57" s="4"/>
      <c r="D57" s="4"/>
      <c r="E57" s="4"/>
      <c r="F57" s="4"/>
      <c r="G57" s="10"/>
      <c r="I57" s="8"/>
      <c r="J57" s="7"/>
      <c r="K57" s="17" t="str">
        <f>IF(_2023_07\Expected_Income[[#This Row],[Source]]="Advantage",$J$43,IF(_2023_07\Expected_Income[[#This Row],[Source]]="Saline", $J$44, " "))</f>
        <v xml:space="preserve"> </v>
      </c>
      <c r="L57" s="17" t="str">
        <f>IF(_2023_07\Expected_Income[[#This Row],[Source]]="Advantage",_2023_07\Expected_Income[[#This Row],[Gross Income]]*$K$43,IF(_2023_07\Expected_Income[[#This Row],[Source]]="Saline", _2023_07\Expected_Income[[#This Row],[Gross Income]]*$K$44, " "))</f>
        <v xml:space="preserve"> </v>
      </c>
      <c r="M57" s="20" t="str">
        <f>IF(_2023_07\Expected_Income[[#This Row],[Source]]="Advantage",$L$43,IF(_2023_07\Expected_Income[[#This Row],[Source]]="Saline", $L$44, " "))</f>
        <v xml:space="preserve"> </v>
      </c>
      <c r="N57" s="17" t="str">
        <f>IF(_2023_07\Expected_Income[[#This Row],[Source]]="Advantage",$M$43,IF(_2023_07\Expected_Income[[#This Row],[Source]]="Saline", $M$44, " "))</f>
        <v xml:space="preserve"> </v>
      </c>
      <c r="O57" s="17" t="str">
        <f>IF(_2023_07\Expected_Income[[#This Row],[Source]]&lt;&gt; "", $J$45*(_2023_07\Expected_Income[[#This Row],[Gross Income]]-_2023_07\Expected_Income[[#This Row],[Retirement Contributions]]-_2023_07\Expected_Income[[#This Row],[Healthcare Deductions]]-_2023_07\Expected_Income[[#This Row],[Other Payroll Deductions]]), "")</f>
        <v/>
      </c>
      <c r="P57" s="17" t="str">
        <f>IF(_2023_07\Expected_Income[[#This Row],[Source]]&lt;&gt;"", _2023_07\Expected_Income[[#This Row],[Gross Income]]-_2023_07\Expected_Income[[#This Row],[Retirement Contributions]]-_2023_07\Expected_Income[[#This Row],[Healthcare Deductions]]-_2023_07\Expected_Income[[#This Row],[Other Payroll Deductions]]-_2023_07\Expected_Income[[#This Row],[Taxes]], "")</f>
        <v/>
      </c>
    </row>
    <row r="58" spans="2:16" x14ac:dyDescent="0.25">
      <c r="B58" s="6"/>
      <c r="C58" s="4"/>
      <c r="D58" s="4"/>
      <c r="E58" s="4"/>
      <c r="F58" s="4"/>
      <c r="G58" s="10"/>
    </row>
    <row r="59" spans="2:16" ht="23.25" x14ac:dyDescent="0.35">
      <c r="B59" s="6"/>
      <c r="C59" s="4"/>
      <c r="D59" s="4"/>
      <c r="E59" s="4"/>
      <c r="F59" s="4"/>
      <c r="G59" s="10"/>
      <c r="I59" s="2" t="s">
        <v>31</v>
      </c>
    </row>
    <row r="60" spans="2:16" x14ac:dyDescent="0.25">
      <c r="B60" s="6"/>
      <c r="C60" s="4"/>
      <c r="D60" s="4"/>
      <c r="E60" s="4"/>
      <c r="F60" s="4"/>
      <c r="G60" s="10"/>
      <c r="I60" s="1" t="s">
        <v>9</v>
      </c>
      <c r="J60" s="1" t="s">
        <v>21</v>
      </c>
      <c r="K60" s="1" t="s">
        <v>24</v>
      </c>
      <c r="L60" s="1" t="s">
        <v>25</v>
      </c>
      <c r="M60" s="1" t="s">
        <v>28</v>
      </c>
      <c r="N60" s="1" t="s">
        <v>26</v>
      </c>
      <c r="O60" s="1" t="s">
        <v>29</v>
      </c>
      <c r="P60" s="1" t="s">
        <v>27</v>
      </c>
    </row>
    <row r="61" spans="2:16" x14ac:dyDescent="0.25">
      <c r="B61" s="6"/>
      <c r="C61" s="4"/>
      <c r="D61" s="4"/>
      <c r="E61" s="4"/>
      <c r="F61" s="4"/>
      <c r="G61" s="10"/>
      <c r="I61" s="6"/>
      <c r="J61" s="4"/>
      <c r="K61" s="5"/>
      <c r="L61" s="5"/>
      <c r="M61" s="10"/>
      <c r="N61" s="5"/>
      <c r="O61" s="5"/>
      <c r="P61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2" spans="2:16" x14ac:dyDescent="0.25">
      <c r="B62" s="6"/>
      <c r="C62" s="4"/>
      <c r="D62" s="4"/>
      <c r="E62" s="4"/>
      <c r="F62" s="4"/>
      <c r="G62" s="10"/>
      <c r="I62" s="6"/>
      <c r="J62" s="4"/>
      <c r="K62" s="5"/>
      <c r="L62" s="5"/>
      <c r="M62" s="10"/>
      <c r="N62" s="5"/>
      <c r="O62" s="5"/>
      <c r="P62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3" spans="2:16" x14ac:dyDescent="0.25">
      <c r="B63" s="6"/>
      <c r="C63" s="4"/>
      <c r="D63" s="4"/>
      <c r="E63" s="4"/>
      <c r="F63" s="4"/>
      <c r="G63" s="10"/>
      <c r="I63" s="6"/>
      <c r="J63" s="4"/>
      <c r="K63" s="5"/>
      <c r="L63" s="5"/>
      <c r="M63" s="10"/>
      <c r="N63" s="5"/>
      <c r="O63" s="5"/>
      <c r="P63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4" spans="2:16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10"/>
      <c r="N64" s="5"/>
      <c r="O64" s="5"/>
      <c r="P64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5" spans="2:16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10"/>
      <c r="N65" s="5"/>
      <c r="O65" s="5"/>
      <c r="P65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6" spans="2:16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10"/>
      <c r="N66" s="5"/>
      <c r="O66" s="5"/>
      <c r="P66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7" spans="2:16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10"/>
      <c r="N67" s="5"/>
      <c r="O67" s="5"/>
      <c r="P67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8" spans="2:16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10"/>
      <c r="N68" s="5"/>
      <c r="O68" s="5"/>
      <c r="P68" s="15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69" spans="2:16" x14ac:dyDescent="0.25">
      <c r="B69" s="6"/>
      <c r="C69" s="4"/>
      <c r="D69" s="4"/>
      <c r="E69" s="4"/>
      <c r="F69" s="4"/>
      <c r="G69" s="10"/>
      <c r="I69" s="8"/>
      <c r="J69" s="7"/>
      <c r="K69" s="9"/>
      <c r="L69" s="9"/>
      <c r="M69" s="12"/>
      <c r="N69" s="9"/>
      <c r="O69" s="9"/>
      <c r="P69" s="17">
        <f>_2023_07\Actual_Income[[#This Row],[Gross Income]]-_2023_07\Actual_Income[[#This Row],[Retirement Contributions]]-_2023_07\Actual_Income[[#This Row],[Healthcare Deductions]]-_2023_07\Actual_Income[[#This Row],[Other Payroll Deductions]]-_2023_07\Actual_Income[[#This Row],[Taxes]]</f>
        <v>0</v>
      </c>
    </row>
    <row r="70" spans="2:16" x14ac:dyDescent="0.25">
      <c r="B70" s="6"/>
      <c r="C70" s="4"/>
      <c r="D70" s="4"/>
      <c r="E70" s="4"/>
      <c r="F70" s="4"/>
      <c r="G70" s="10"/>
    </row>
    <row r="71" spans="2:16" x14ac:dyDescent="0.25">
      <c r="B71" s="6"/>
      <c r="C71" s="4"/>
      <c r="D71" s="4"/>
      <c r="E71" s="4"/>
      <c r="F71" s="4"/>
      <c r="G71" s="10"/>
    </row>
    <row r="72" spans="2:16" x14ac:dyDescent="0.25">
      <c r="B72" s="6"/>
      <c r="C72" s="4"/>
      <c r="D72" s="4"/>
      <c r="E72" s="4"/>
      <c r="F72" s="4"/>
      <c r="G72" s="10"/>
    </row>
    <row r="73" spans="2:16" x14ac:dyDescent="0.25">
      <c r="B73" s="6"/>
      <c r="C73" s="4"/>
      <c r="D73" s="4"/>
      <c r="E73" s="4"/>
      <c r="F73" s="4"/>
      <c r="G73" s="10"/>
    </row>
    <row r="74" spans="2:16" x14ac:dyDescent="0.25">
      <c r="B74" s="6"/>
      <c r="C74" s="4"/>
      <c r="D74" s="4"/>
      <c r="E74" s="4"/>
      <c r="F74" s="4"/>
      <c r="G74" s="10"/>
    </row>
    <row r="75" spans="2:16" x14ac:dyDescent="0.25">
      <c r="B75" s="6"/>
      <c r="C75" s="4"/>
      <c r="D75" s="4"/>
      <c r="E75" s="4"/>
      <c r="F75" s="4"/>
      <c r="G75" s="10"/>
    </row>
    <row r="76" spans="2:16" x14ac:dyDescent="0.25">
      <c r="B76" s="6"/>
      <c r="C76" s="4"/>
      <c r="D76" s="4"/>
      <c r="E76" s="4"/>
      <c r="F76" s="4"/>
      <c r="G76" s="10"/>
    </row>
    <row r="77" spans="2:16" x14ac:dyDescent="0.25">
      <c r="B77" s="6"/>
      <c r="C77" s="4"/>
      <c r="D77" s="4"/>
      <c r="E77" s="4"/>
      <c r="F77" s="4"/>
      <c r="G77" s="10"/>
    </row>
    <row r="78" spans="2:16" x14ac:dyDescent="0.25">
      <c r="B78" s="6"/>
      <c r="C78" s="4"/>
      <c r="D78" s="4"/>
      <c r="E78" s="4"/>
      <c r="F78" s="4"/>
      <c r="G78" s="10"/>
    </row>
    <row r="79" spans="2:16" x14ac:dyDescent="0.25">
      <c r="B79" s="6"/>
      <c r="C79" s="4"/>
      <c r="D79" s="4"/>
      <c r="E79" s="4"/>
      <c r="F79" s="4"/>
      <c r="G79" s="10"/>
    </row>
    <row r="80" spans="2:16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conditionalFormatting sqref="G55:G120">
    <cfRule type="expression" dxfId="131" priority="18">
      <formula>AND(INDIRECT("_" &amp; SUBSTITUTE($C$2,"-","_") &amp; "\Transactions[@Category]") &lt;&gt; "Savings", INDIRECT("_" &amp; SUBSTITUTE($C$2,"-","_") &amp; "\Transactions[@Type]") = "Credit")</formula>
    </cfRule>
    <cfRule type="expression" dxfId="130" priority="19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129" priority="16">
      <formula>AND(INDIRECT("_" &amp; SUBSTITUTE($C$2,"-","_") &amp; "\Transactions[@Category]") &lt;&gt; "Savings", INDIRECT("_" &amp; SUBSTITUTE($C$2,"-","_") &amp; "\Transactions[@Type]") = "Credit")</formula>
    </cfRule>
    <cfRule type="expression" dxfId="128" priority="17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2">
    <cfRule type="expression" dxfId="127" priority="9">
      <formula>AND(INDIRECT("_" &amp; SUBSTITUTE($C$2,"-","_") &amp; "\Budgets[@Type]")="Saving", INDIRECT("_" &amp; SUBSTITUTE($C$2,"-","_") &amp; "\Budgets[@[Remaining Budget]]")&gt;0)</formula>
    </cfRule>
    <cfRule type="expression" dxfId="126" priority="10">
      <formula>AND(INDIRECT("_" &amp; SUBSTITUTE($C$2,"-","_") &amp; "\Budgets[@Type]")="Saving", INDIRECT("_" &amp; SUBSTITUTE($C$2,"-","_") &amp; "\Budgets[@[Remaining Budget]]")&lt;0)</formula>
    </cfRule>
    <cfRule type="expression" dxfId="125" priority="11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124" priority="5">
      <formula>E5&lt;0</formula>
    </cfRule>
    <cfRule type="expression" dxfId="123" priority="6">
      <formula>E5&gt;0</formula>
    </cfRule>
  </conditionalFormatting>
  <conditionalFormatting sqref="E6:E9">
    <cfRule type="expression" dxfId="122" priority="7">
      <formula>E6&lt;0</formula>
    </cfRule>
    <cfRule type="expression" dxfId="121" priority="8">
      <formula>E6&gt;0</formula>
    </cfRule>
  </conditionalFormatting>
  <conditionalFormatting sqref="E14">
    <cfRule type="expression" dxfId="120" priority="1">
      <formula>E14&lt;0</formula>
    </cfRule>
    <cfRule type="expression" dxfId="119" priority="2">
      <formula>E14&gt;0</formula>
    </cfRule>
  </conditionalFormatting>
  <conditionalFormatting sqref="E13 E15">
    <cfRule type="expression" dxfId="118" priority="3">
      <formula>E13&lt;0</formula>
    </cfRule>
    <cfRule type="expression" dxfId="117" priority="4">
      <formula>E13&gt;0</formula>
    </cfRule>
  </conditionalFormatting>
  <dataValidations count="5">
    <dataValidation type="list" allowBlank="1" showInputMessage="1" showErrorMessage="1" sqref="F20:F120" xr:uid="{543A30AA-D474-4EFB-B8D3-992B5DC1AF47}">
      <formula1>"Credit,Debit"</formula1>
    </dataValidation>
    <dataValidation type="list" allowBlank="1" showInputMessage="1" showErrorMessage="1" sqref="J26:J39" xr:uid="{54740276-4ACA-46EE-BFCA-5AE2B0E79A6B}">
      <formula1>"Spending,Reserve,Savings,Loan,Safety Net,Retirement"</formula1>
    </dataValidation>
    <dataValidation type="list" allowBlank="1" showInputMessage="1" showErrorMessage="1" sqref="E20:E120" xr:uid="{B44E5615-26EA-431B-9C44-EA2FE152BCEF}">
      <formula1>INDIRECT("_" &amp; SUBSTITUTE($C$2,"-","_") &amp; "\Budgets[Name]")</formula1>
    </dataValidation>
    <dataValidation type="list" showInputMessage="1" showErrorMessage="1" sqref="J20" xr:uid="{01F33C00-A015-4356-AFFD-4BC1A4D374F7}">
      <formula1>"Rolling,Fixed,Saving"</formula1>
    </dataValidation>
    <dataValidation type="list" showInputMessage="1" showErrorMessage="1" sqref="J6:J19" xr:uid="{81998F3F-B487-4D29-BE07-86FA2CBDC6D6}">
      <formula1>"Rolling,Fixed"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C788-FD2E-40DC-9046-10DE0B0EAB43}">
  <sheetPr codeName="Sheet22"/>
  <dimension ref="B2:P120"/>
  <sheetViews>
    <sheetView workbookViewId="0">
      <selection activeCell="F86" sqref="F86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17.7109375" customWidth="1"/>
    <col min="11" max="16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2023-06</v>
      </c>
      <c r="D2" s="1" t="s">
        <v>14</v>
      </c>
      <c r="E2" t="str">
        <f ca="1">_xlfn.CONCAT(IF(RIGHT(C2,2)="01", VALUE(LEFT(C2,4))-1, LEFT(C2,4)), "-", IF(RIGHT(C2,2)="01","12",TEXT(VALUE(RIGHT(C2,2))-1,"00")))</f>
        <v>2023-05</v>
      </c>
    </row>
    <row r="4" spans="2:16" ht="23.25" x14ac:dyDescent="0.35">
      <c r="B4" s="2" t="s">
        <v>6</v>
      </c>
      <c r="C4" s="1" t="s">
        <v>36</v>
      </c>
      <c r="D4" s="1" t="s">
        <v>37</v>
      </c>
      <c r="E4" s="1" t="s">
        <v>38</v>
      </c>
      <c r="I4" s="2" t="s">
        <v>0</v>
      </c>
    </row>
    <row r="5" spans="2:16" x14ac:dyDescent="0.25">
      <c r="B5" s="1" t="s">
        <v>32</v>
      </c>
      <c r="C5" s="3">
        <f ca="1">SUM(INDIRECT("_" &amp; SUBSTITUTE($C$2,"-","_") &amp; "\Expected_Income[Gross Income]"))</f>
        <v>0</v>
      </c>
      <c r="D5" s="3">
        <f ca="1">SUM(INDIRECT("_" &amp; SUBSTITUTE($C$2,"-","_") &amp; "\Actual_Income[Gross Income]"))</f>
        <v>0</v>
      </c>
      <c r="E5" s="14">
        <f ca="1">D5-C5</f>
        <v>0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33</v>
      </c>
      <c r="C6" s="3">
        <f ca="1">SUM(INDIRECT("_" &amp; SUBSTITUTE($C$2,"-","_") &amp; "\Expected_Income[Retirement Contributions]"))</f>
        <v>0</v>
      </c>
      <c r="D6" s="3">
        <f ca="1">SUM(INDIRECT("_" &amp; SUBSTITUTE($C$2,"-","_") &amp; "\Actual_Income[Retirement Contributions]"))</f>
        <v>0</v>
      </c>
      <c r="E6" s="14">
        <f ca="1">D6-C6</f>
        <v>0</v>
      </c>
      <c r="I6" s="4"/>
      <c r="J6" s="4"/>
      <c r="K6" s="5"/>
      <c r="L6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6" s="5"/>
      <c r="N6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6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6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>
        <f ca="1">SUM(INDIRECT("_" &amp; SUBSTITUTE($C$2,"-","_") &amp; "\Actual_Income[Healthcare Deductions]"))</f>
        <v>0</v>
      </c>
      <c r="E7" s="14">
        <f ca="1">D7-C7</f>
        <v>0</v>
      </c>
      <c r="I7" s="4"/>
      <c r="J7" s="4"/>
      <c r="K7" s="5"/>
      <c r="L7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7" s="5"/>
      <c r="N7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7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7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>
        <f ca="1">SUM(INDIRECT("_" &amp; SUBSTITUTE($C$2,"-","_") &amp; "\Actual_Income[Other Payroll Deductions]"))</f>
        <v>0</v>
      </c>
      <c r="E8" s="14">
        <f t="shared" ref="E8" ca="1" si="0">D8-C8</f>
        <v>0</v>
      </c>
      <c r="I8" s="4"/>
      <c r="J8" s="4"/>
      <c r="K8" s="5"/>
      <c r="L8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8" s="5"/>
      <c r="N8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8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8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9" spans="2:16" x14ac:dyDescent="0.25">
      <c r="B9" s="1" t="s">
        <v>34</v>
      </c>
      <c r="C9" s="14">
        <f ca="1">SUM(INDIRECT("_" &amp; SUBSTITUTE($C$2,"-","_") &amp; "\Expected_Income[Taxes]"))</f>
        <v>0</v>
      </c>
      <c r="D9" s="3">
        <f ca="1">SUM(INDIRECT("_" &amp; SUBSTITUTE($C$2,"-","_") &amp; "\Actual_Income[Taxes]"))</f>
        <v>0</v>
      </c>
      <c r="E9" s="14">
        <f ca="1">D9-C9</f>
        <v>0</v>
      </c>
      <c r="I9" s="4"/>
      <c r="J9" s="4"/>
      <c r="K9" s="5"/>
      <c r="L9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9" s="5"/>
      <c r="N9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9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9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0" spans="2:16" x14ac:dyDescent="0.25">
      <c r="B10" s="1" t="s">
        <v>35</v>
      </c>
      <c r="C10" s="14">
        <f ca="1">SUM(INDIRECT("_" &amp; SUBSTITUTE($C$2,"-","_") &amp; "\Expected_Income[Net Income]"))</f>
        <v>0</v>
      </c>
      <c r="D10" s="3">
        <f ca="1">SUM(INDIRECT("_" &amp; SUBSTITUTE($C$2,"-","_") &amp; "\Actual_Income[Net Income]"))</f>
        <v>0</v>
      </c>
      <c r="E10" s="14">
        <f ca="1">D10-C10</f>
        <v>0</v>
      </c>
      <c r="I10" s="4"/>
      <c r="J10" s="4"/>
      <c r="K10" s="5"/>
      <c r="L10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0" s="5"/>
      <c r="N10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0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0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1" spans="2:16" x14ac:dyDescent="0.25">
      <c r="I11" s="4"/>
      <c r="J11" s="4"/>
      <c r="K11" s="5"/>
      <c r="L11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1" s="5"/>
      <c r="N11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1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1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2" spans="2:16" x14ac:dyDescent="0.25">
      <c r="C12" s="1" t="s">
        <v>43</v>
      </c>
      <c r="D12" s="1" t="s">
        <v>37</v>
      </c>
      <c r="E12" s="1" t="s">
        <v>38</v>
      </c>
      <c r="I12" s="4"/>
      <c r="J12" s="4"/>
      <c r="K12" s="5"/>
      <c r="L12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2" s="5"/>
      <c r="N12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2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2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3" spans="2:16" x14ac:dyDescent="0.25">
      <c r="B13" s="1" t="s">
        <v>41</v>
      </c>
      <c r="C13" s="14">
        <f ca="1">SUMIF(INDIRECT("_" &amp; SUBSTITUTE($C$2,"-","_") &amp; "\Budgets[Type]"), "&lt;&gt;Saving", INDIRECT("_" &amp; SUBSTITUTE($C$2,"-","_") &amp; "\Budgets[Amount]"))</f>
        <v>0</v>
      </c>
      <c r="D13" s="14">
        <f ca="1">SUMIF(INDIRECT("_" &amp; SUBSTITUTE($C$2,"-","_") &amp; "\Budgets[Type]"), "&lt;&gt;Saving", INDIRECT("_" &amp; SUBSTITUTE($C$2,"-","_") &amp; "\Budgets[Total Debits]"))</f>
        <v>0</v>
      </c>
      <c r="E13" s="14">
        <f ca="1">D13-C13</f>
        <v>0</v>
      </c>
      <c r="I13" s="4"/>
      <c r="J13" s="4"/>
      <c r="K13" s="5"/>
      <c r="L13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3" s="5"/>
      <c r="N13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3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3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4" spans="2:16" x14ac:dyDescent="0.25">
      <c r="B14" s="1" t="s">
        <v>42</v>
      </c>
      <c r="C14" s="14">
        <f ca="1">SUMIF(INDIRECT("_" &amp; SUBSTITUTE($C$2,"-","_") &amp; "\Budgets[Type]"), "=Saving", INDIRECT("_" &amp; SUBSTITUTE($C$2,"-","_") &amp; "\Budgets[Amount]"))</f>
        <v>0</v>
      </c>
      <c r="D14" s="14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0</v>
      </c>
      <c r="E14" s="14">
        <f ca="1">D14-C14</f>
        <v>0</v>
      </c>
      <c r="I14" s="4"/>
      <c r="J14" s="4"/>
      <c r="K14" s="5"/>
      <c r="L14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4" s="5"/>
      <c r="N14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4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4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5" spans="2:16" x14ac:dyDescent="0.25">
      <c r="B15" s="1" t="s">
        <v>47</v>
      </c>
      <c r="C15" s="14">
        <f ca="1">C13+C14</f>
        <v>0</v>
      </c>
      <c r="D15" s="14"/>
      <c r="E15" s="14"/>
      <c r="I15" s="4"/>
      <c r="J15" s="4"/>
      <c r="K15" s="5"/>
      <c r="L15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5" s="5"/>
      <c r="N15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5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5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6" spans="2:16" x14ac:dyDescent="0.25">
      <c r="B16" s="1" t="s">
        <v>46</v>
      </c>
      <c r="C16" s="14">
        <f ca="1">C10-C13-C14</f>
        <v>0</v>
      </c>
      <c r="D16" s="14"/>
      <c r="E16" s="14"/>
      <c r="I16" s="4"/>
      <c r="J16" s="4"/>
      <c r="K16" s="5"/>
      <c r="L16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6" s="5"/>
      <c r="N16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6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6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7" spans="2:16" x14ac:dyDescent="0.25">
      <c r="I17" s="4"/>
      <c r="J17" s="4"/>
      <c r="K17" s="5"/>
      <c r="L17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7" s="5"/>
      <c r="N17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7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7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8" s="5"/>
      <c r="N18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8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8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19" s="5"/>
      <c r="N19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19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19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20" s="5"/>
      <c r="N20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20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20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21" s="9"/>
      <c r="N21" s="13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21" s="13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21" s="13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IF(_2023_06\Budgets[[#This Row],[Type]]&lt;&gt;"Rolling", "", IF(NOT(ISBLANK(_2023_06\Budgets[[#This Row],[Override Rollover Amount]])), _2023_06\Budgets[[#This Row],[Override Rollover Amount]], SUMIF(INDIRECT("_" &amp; SUBSTITUTE($E$2,"-","_") &amp; "\Budgets[Name]"),_2023_06\Budgets[[#This Row],[Name]],INDIRECT("_" &amp; SUBSTITUTE($E$2,"-","_") &amp; "\Budgets[Remaining Budget]"))))</f>
        <v/>
      </c>
      <c r="M22" s="5"/>
      <c r="N22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"\Transactions[Type]"),"Debit")</f>
        <v>0</v>
      </c>
      <c r="O22" s="11">
        <f ca="1">SUMIFS(INDIRECT("_" &amp; SUBSTITUTE($C$2,"-","_") &amp; "\Transactions[Amount]"), INDIRECT("_" &amp; SUBSTITUTE($C$2,"-","_") &amp; "\Transactions[Category]"),_2023_06\Budgets[[#This Row],[Name]], INDIRECT("_" &amp; SUBSTITUTE($C$2,"-","_") &amp; "\Transactions[Type]"),"Credit")</f>
        <v>0</v>
      </c>
      <c r="P22" s="11">
        <f ca="1">IF(_2023_06\Budgets[[#This Row],[Type]]&lt;&gt;"Saving", _2023_06\Budgets[[#This Row],[Amount]]+IF(NOT(_2023_06\Budgets[[#This Row],[Rollover From Last Month]]=""),_2023_06\Budgets[[#This Row],[Rollover From Last Month]],0)-_2023_06\Budgets[[#This Row],[Total Debits]]+_2023_06\Budgets[[#This Row],[Total Credits]], _2023_06\Budgets[[#This Row],[Amount]]+IF(NOT(_2023_06\Budgets[[#This Row],[Rollover From Last Month]]=""),_2023_06\Budgets[[#This Row],[Rollover From Last Month]],0)+_2023_06\Budgets[[#This Row],[Total Debits]]-_2023_06\Budgets[[#This Row],[Total Credits]])</f>
        <v>0</v>
      </c>
    </row>
    <row r="23" spans="2:16" x14ac:dyDescent="0.25">
      <c r="B23" s="6"/>
      <c r="C23" s="4"/>
      <c r="D23" s="4"/>
      <c r="E23" s="4"/>
      <c r="F23" s="4"/>
      <c r="G23" s="10"/>
    </row>
    <row r="24" spans="2:16" ht="23.25" x14ac:dyDescent="0.35">
      <c r="B24" s="6"/>
      <c r="C24" s="4"/>
      <c r="D24" s="4"/>
      <c r="E24" s="4"/>
      <c r="F24" s="4"/>
      <c r="G24" s="10"/>
      <c r="I24" s="2" t="s">
        <v>20</v>
      </c>
    </row>
    <row r="25" spans="2:16" x14ac:dyDescent="0.25">
      <c r="B25" s="6"/>
      <c r="C25" s="4"/>
      <c r="D25" s="4"/>
      <c r="E25" s="4"/>
      <c r="F25" s="4"/>
      <c r="G25" s="10"/>
      <c r="I25" s="1" t="s">
        <v>5</v>
      </c>
      <c r="J25" s="1" t="s">
        <v>12</v>
      </c>
      <c r="K25" s="1" t="s">
        <v>15</v>
      </c>
      <c r="L25" s="1" t="s">
        <v>16</v>
      </c>
      <c r="M25" s="1" t="s">
        <v>17</v>
      </c>
      <c r="N25" s="1" t="s">
        <v>18</v>
      </c>
      <c r="O25" s="1" t="s">
        <v>19</v>
      </c>
    </row>
    <row r="26" spans="2:16" x14ac:dyDescent="0.25">
      <c r="B26" s="6"/>
      <c r="C26" s="4"/>
      <c r="D26" s="4"/>
      <c r="E26" s="4"/>
      <c r="F26" s="4"/>
      <c r="G26" s="10"/>
      <c r="I26" s="4"/>
      <c r="J26" s="4"/>
      <c r="K26" s="5"/>
      <c r="L26" s="5"/>
      <c r="M26" s="5"/>
      <c r="N26" s="5"/>
      <c r="O26" s="5"/>
    </row>
    <row r="27" spans="2:16" x14ac:dyDescent="0.25">
      <c r="B27" s="6"/>
      <c r="C27" s="4"/>
      <c r="D27" s="4"/>
      <c r="E27" s="4"/>
      <c r="F27" s="4"/>
      <c r="G27" s="10"/>
      <c r="I27" s="4"/>
      <c r="J27" s="4"/>
      <c r="K27" s="5"/>
      <c r="L27" s="5"/>
      <c r="M27" s="5"/>
      <c r="N27" s="5"/>
      <c r="O27" s="5"/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6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6" x14ac:dyDescent="0.25">
      <c r="B34" s="6"/>
      <c r="C34" s="4"/>
      <c r="D34" s="4"/>
      <c r="E34" s="4"/>
      <c r="F34" s="4"/>
      <c r="G34" s="10"/>
      <c r="I34" s="7"/>
      <c r="J34" s="7"/>
      <c r="K34" s="9"/>
      <c r="L34" s="9"/>
      <c r="M34" s="9"/>
      <c r="N34" s="9"/>
      <c r="O34" s="9"/>
    </row>
    <row r="35" spans="2:16" x14ac:dyDescent="0.25">
      <c r="B35" s="6"/>
      <c r="C35" s="4"/>
      <c r="D35" s="4"/>
      <c r="E35" s="4"/>
      <c r="F35" s="4"/>
      <c r="G35" s="10"/>
      <c r="I35" s="7"/>
      <c r="J35" s="7"/>
      <c r="K35" s="9"/>
      <c r="L35" s="5"/>
      <c r="M35" s="9"/>
      <c r="N35" s="9"/>
      <c r="O35" s="9"/>
    </row>
    <row r="36" spans="2:16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6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6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6" x14ac:dyDescent="0.25">
      <c r="B39" s="6"/>
      <c r="C39" s="4"/>
      <c r="D39" s="4"/>
      <c r="E39" s="4"/>
      <c r="F39" s="4"/>
      <c r="G39" s="10"/>
      <c r="I39" s="4"/>
      <c r="J39" s="4"/>
      <c r="K39" s="5"/>
      <c r="L39" s="5"/>
      <c r="M39" s="5"/>
      <c r="N39" s="5"/>
      <c r="O39" s="5"/>
    </row>
    <row r="40" spans="2:16" x14ac:dyDescent="0.25">
      <c r="B40" s="6"/>
      <c r="C40" s="4"/>
      <c r="D40" s="4"/>
      <c r="E40" s="4"/>
      <c r="F40" s="4"/>
      <c r="G40" s="10"/>
    </row>
    <row r="41" spans="2:16" ht="23.25" x14ac:dyDescent="0.35">
      <c r="B41" s="6"/>
      <c r="C41" s="4"/>
      <c r="D41" s="4"/>
      <c r="E41" s="4"/>
      <c r="F41" s="4"/>
      <c r="G41" s="10"/>
      <c r="I41" s="2" t="s">
        <v>40</v>
      </c>
    </row>
    <row r="42" spans="2:16" x14ac:dyDescent="0.25">
      <c r="B42" s="6"/>
      <c r="C42" s="4"/>
      <c r="D42" s="4"/>
      <c r="E42" s="4"/>
      <c r="F42" s="4"/>
      <c r="G42" s="10"/>
      <c r="J42" s="1" t="s">
        <v>24</v>
      </c>
      <c r="K42" s="1" t="s">
        <v>25</v>
      </c>
      <c r="L42" s="1" t="s">
        <v>28</v>
      </c>
      <c r="M42" s="1" t="s">
        <v>26</v>
      </c>
    </row>
    <row r="43" spans="2:16" x14ac:dyDescent="0.25">
      <c r="B43" s="6"/>
      <c r="C43" s="4"/>
      <c r="D43" s="4"/>
      <c r="E43" s="4"/>
      <c r="F43" s="4"/>
      <c r="G43" s="10"/>
      <c r="I43" s="1"/>
      <c r="J43" s="10"/>
      <c r="K43" s="21"/>
      <c r="L43" s="10"/>
      <c r="M43" s="10"/>
    </row>
    <row r="44" spans="2:16" x14ac:dyDescent="0.25">
      <c r="B44" s="6"/>
      <c r="C44" s="4"/>
      <c r="D44" s="4"/>
      <c r="E44" s="4"/>
      <c r="F44" s="4"/>
      <c r="G44" s="10"/>
      <c r="I44" s="1"/>
      <c r="J44" s="10"/>
      <c r="K44" s="21"/>
      <c r="L44" s="10"/>
      <c r="M44" s="10"/>
    </row>
    <row r="45" spans="2:16" x14ac:dyDescent="0.25">
      <c r="B45" s="6"/>
      <c r="C45" s="4"/>
      <c r="D45" s="4"/>
      <c r="E45" s="4"/>
      <c r="F45" s="4"/>
      <c r="G45" s="10"/>
      <c r="I45" s="1" t="s">
        <v>39</v>
      </c>
      <c r="J45" s="21"/>
    </row>
    <row r="46" spans="2:16" x14ac:dyDescent="0.25">
      <c r="B46" s="6"/>
      <c r="C46" s="4"/>
      <c r="D46" s="4"/>
      <c r="E46" s="4"/>
      <c r="F46" s="4"/>
      <c r="G46" s="10"/>
    </row>
    <row r="47" spans="2:16" ht="23.25" x14ac:dyDescent="0.35">
      <c r="B47" s="6"/>
      <c r="C47" s="4"/>
      <c r="D47" s="4"/>
      <c r="E47" s="4"/>
      <c r="F47" s="4"/>
      <c r="G47" s="10"/>
      <c r="I47" s="2" t="s">
        <v>30</v>
      </c>
    </row>
    <row r="48" spans="2:16" x14ac:dyDescent="0.25">
      <c r="B48" s="6"/>
      <c r="C48" s="4"/>
      <c r="D48" s="4"/>
      <c r="E48" s="4"/>
      <c r="F48" s="4"/>
      <c r="G48" s="10"/>
      <c r="I48" s="1" t="s">
        <v>9</v>
      </c>
      <c r="J48" s="1" t="s">
        <v>21</v>
      </c>
      <c r="K48" s="1" t="s">
        <v>24</v>
      </c>
      <c r="L48" s="1" t="s">
        <v>25</v>
      </c>
      <c r="M48" s="1" t="s">
        <v>28</v>
      </c>
      <c r="N48" s="1" t="s">
        <v>26</v>
      </c>
      <c r="O48" s="1" t="s">
        <v>29</v>
      </c>
      <c r="P48" s="1" t="s">
        <v>27</v>
      </c>
    </row>
    <row r="49" spans="2:16" x14ac:dyDescent="0.25">
      <c r="B49" s="6"/>
      <c r="C49" s="4"/>
      <c r="D49" s="4"/>
      <c r="E49" s="4"/>
      <c r="F49" s="4"/>
      <c r="G49" s="10"/>
      <c r="I49" s="6"/>
      <c r="J49" s="4"/>
      <c r="K49" s="15" t="str">
        <f>IF(_2023_06\Expected_Income[[#This Row],[Source]]="Advantage",$J$43,IF(_2023_06\Expected_Income[[#This Row],[Source]]="Saline", $J$44, " "))</f>
        <v xml:space="preserve"> </v>
      </c>
      <c r="L49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49" s="16" t="str">
        <f>IF(_2023_06\Expected_Income[[#This Row],[Source]]="Advantage",$L$43,IF(_2023_06\Expected_Income[[#This Row],[Source]]="Saline", $L$44, " "))</f>
        <v xml:space="preserve"> </v>
      </c>
      <c r="N49" s="15" t="str">
        <f>IF(_2023_06\Expected_Income[[#This Row],[Source]]="Advantage",$M$43,IF(_2023_06\Expected_Income[[#This Row],[Source]]="Saline", $M$44, " "))</f>
        <v xml:space="preserve"> </v>
      </c>
      <c r="O49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49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0" spans="2:16" x14ac:dyDescent="0.25">
      <c r="B50" s="6"/>
      <c r="C50" s="4"/>
      <c r="D50" s="4"/>
      <c r="E50" s="4"/>
      <c r="F50" s="4"/>
      <c r="G50" s="10"/>
      <c r="I50" s="6"/>
      <c r="J50" s="4"/>
      <c r="K50" s="15" t="str">
        <f>IF(_2023_06\Expected_Income[[#This Row],[Source]]="Advantage",$J$43,IF(_2023_06\Expected_Income[[#This Row],[Source]]="Saline", $J$44, " "))</f>
        <v xml:space="preserve"> </v>
      </c>
      <c r="L50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0" s="16" t="str">
        <f>IF(_2023_06\Expected_Income[[#This Row],[Source]]="Advantage",$L$43,IF(_2023_06\Expected_Income[[#This Row],[Source]]="Saline", $L$44, " "))</f>
        <v xml:space="preserve"> </v>
      </c>
      <c r="N50" s="15" t="str">
        <f>IF(_2023_06\Expected_Income[[#This Row],[Source]]="Advantage",$M$43,IF(_2023_06\Expected_Income[[#This Row],[Source]]="Saline", $M$44, " "))</f>
        <v xml:space="preserve"> </v>
      </c>
      <c r="O50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0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1" spans="2:16" x14ac:dyDescent="0.25">
      <c r="B51" s="6"/>
      <c r="C51" s="4"/>
      <c r="D51" s="4"/>
      <c r="E51" s="4"/>
      <c r="F51" s="4"/>
      <c r="G51" s="10"/>
      <c r="I51" s="6"/>
      <c r="J51" s="4"/>
      <c r="K51" s="15" t="str">
        <f>IF(_2023_06\Expected_Income[[#This Row],[Source]]="Advantage",$J$43,IF(_2023_06\Expected_Income[[#This Row],[Source]]="Saline", $J$44, " "))</f>
        <v xml:space="preserve"> </v>
      </c>
      <c r="L51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1" s="16" t="str">
        <f>IF(_2023_06\Expected_Income[[#This Row],[Source]]="Advantage",$L$43,IF(_2023_06\Expected_Income[[#This Row],[Source]]="Saline", $L$44, " "))</f>
        <v xml:space="preserve"> </v>
      </c>
      <c r="N51" s="15" t="str">
        <f>IF(_2023_06\Expected_Income[[#This Row],[Source]]="Advantage",$M$43,IF(_2023_06\Expected_Income[[#This Row],[Source]]="Saline", $M$44, " "))</f>
        <v xml:space="preserve"> </v>
      </c>
      <c r="O51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1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2" spans="2:16" x14ac:dyDescent="0.25">
      <c r="B52" s="6"/>
      <c r="C52" s="4"/>
      <c r="D52" s="4"/>
      <c r="E52" s="4"/>
      <c r="F52" s="4"/>
      <c r="G52" s="10"/>
      <c r="I52" s="6"/>
      <c r="J52" s="4"/>
      <c r="K52" s="15" t="str">
        <f>IF(_2023_06\Expected_Income[[#This Row],[Source]]="Advantage",$J$43,IF(_2023_06\Expected_Income[[#This Row],[Source]]="Saline", $J$44, " "))</f>
        <v xml:space="preserve"> </v>
      </c>
      <c r="L52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2" s="16" t="str">
        <f>IF(_2023_06\Expected_Income[[#This Row],[Source]]="Advantage",$L$43,IF(_2023_06\Expected_Income[[#This Row],[Source]]="Saline", $L$44, " "))</f>
        <v xml:space="preserve"> </v>
      </c>
      <c r="N52" s="15" t="str">
        <f>IF(_2023_06\Expected_Income[[#This Row],[Source]]="Advantage",$M$43,IF(_2023_06\Expected_Income[[#This Row],[Source]]="Saline", $M$44, " "))</f>
        <v xml:space="preserve"> </v>
      </c>
      <c r="O52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2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3" spans="2:16" x14ac:dyDescent="0.25">
      <c r="B53" s="6"/>
      <c r="C53" s="4"/>
      <c r="D53" s="4"/>
      <c r="E53" s="4"/>
      <c r="F53" s="4"/>
      <c r="G53" s="10"/>
      <c r="I53" s="6"/>
      <c r="J53" s="4"/>
      <c r="K53" s="15" t="str">
        <f>IF(_2023_06\Expected_Income[[#This Row],[Source]]="Advantage",$J$43,IF(_2023_06\Expected_Income[[#This Row],[Source]]="Saline", $J$44, " "))</f>
        <v xml:space="preserve"> </v>
      </c>
      <c r="L53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3" s="16" t="str">
        <f>IF(_2023_06\Expected_Income[[#This Row],[Source]]="Advantage",$L$43,IF(_2023_06\Expected_Income[[#This Row],[Source]]="Saline", $L$44, " "))</f>
        <v xml:space="preserve"> </v>
      </c>
      <c r="N53" s="15" t="str">
        <f>IF(_2023_06\Expected_Income[[#This Row],[Source]]="Advantage",$M$43,IF(_2023_06\Expected_Income[[#This Row],[Source]]="Saline", $M$44, " "))</f>
        <v xml:space="preserve"> </v>
      </c>
      <c r="O53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3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4" spans="2:16" x14ac:dyDescent="0.25">
      <c r="B54" s="6"/>
      <c r="C54" s="4"/>
      <c r="D54" s="4"/>
      <c r="E54" s="4"/>
      <c r="F54" s="4"/>
      <c r="G54" s="10"/>
      <c r="I54" s="6"/>
      <c r="J54" s="4"/>
      <c r="K54" s="15" t="str">
        <f>IF(_2023_06\Expected_Income[[#This Row],[Source]]="Advantage",$J$43,IF(_2023_06\Expected_Income[[#This Row],[Source]]="Saline", $J$44, " "))</f>
        <v xml:space="preserve"> </v>
      </c>
      <c r="L54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4" s="16" t="str">
        <f>IF(_2023_06\Expected_Income[[#This Row],[Source]]="Advantage",$L$43,IF(_2023_06\Expected_Income[[#This Row],[Source]]="Saline", $L$44, " "))</f>
        <v xml:space="preserve"> </v>
      </c>
      <c r="N54" s="15" t="str">
        <f>IF(_2023_06\Expected_Income[[#This Row],[Source]]="Advantage",$M$43,IF(_2023_06\Expected_Income[[#This Row],[Source]]="Saline", $M$44, " "))</f>
        <v xml:space="preserve"> </v>
      </c>
      <c r="O54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4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5" spans="2:16" x14ac:dyDescent="0.25">
      <c r="B55" s="6"/>
      <c r="C55" s="4"/>
      <c r="D55" s="4"/>
      <c r="E55" s="4"/>
      <c r="F55" s="4"/>
      <c r="G55" s="10"/>
      <c r="I55" s="6"/>
      <c r="J55" s="4"/>
      <c r="K55" s="15" t="str">
        <f>IF(_2023_06\Expected_Income[[#This Row],[Source]]="Advantage",$J$43,IF(_2023_06\Expected_Income[[#This Row],[Source]]="Saline", $J$44, " "))</f>
        <v xml:space="preserve"> </v>
      </c>
      <c r="L55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5" s="16" t="str">
        <f>IF(_2023_06\Expected_Income[[#This Row],[Source]]="Advantage",$L$43,IF(_2023_06\Expected_Income[[#This Row],[Source]]="Saline", $L$44, " "))</f>
        <v xml:space="preserve"> </v>
      </c>
      <c r="N55" s="15" t="str">
        <f>IF(_2023_06\Expected_Income[[#This Row],[Source]]="Advantage",$M$43,IF(_2023_06\Expected_Income[[#This Row],[Source]]="Saline", $M$44, " "))</f>
        <v xml:space="preserve"> </v>
      </c>
      <c r="O55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5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6" spans="2:16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IF(_2023_06\Expected_Income[[#This Row],[Source]]="Advantage",$J$43,IF(_2023_06\Expected_Income[[#This Row],[Source]]="Saline", $J$44, " "))</f>
        <v xml:space="preserve"> </v>
      </c>
      <c r="L56" s="15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6" s="16" t="str">
        <f>IF(_2023_06\Expected_Income[[#This Row],[Source]]="Advantage",$L$43,IF(_2023_06\Expected_Income[[#This Row],[Source]]="Saline", $L$44, " "))</f>
        <v xml:space="preserve"> </v>
      </c>
      <c r="N56" s="15" t="str">
        <f>IF(_2023_06\Expected_Income[[#This Row],[Source]]="Advantage",$M$43,IF(_2023_06\Expected_Income[[#This Row],[Source]]="Saline", $M$44, " "))</f>
        <v xml:space="preserve"> </v>
      </c>
      <c r="O56" s="15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6" s="15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7" spans="2:16" x14ac:dyDescent="0.25">
      <c r="B57" s="6"/>
      <c r="C57" s="4"/>
      <c r="D57" s="4"/>
      <c r="E57" s="4"/>
      <c r="F57" s="4"/>
      <c r="G57" s="10"/>
      <c r="I57" s="8"/>
      <c r="J57" s="7"/>
      <c r="K57" s="17" t="str">
        <f>IF(_2023_06\Expected_Income[[#This Row],[Source]]="Advantage",$J$43,IF(_2023_06\Expected_Income[[#This Row],[Source]]="Saline", $J$44, " "))</f>
        <v xml:space="preserve"> </v>
      </c>
      <c r="L57" s="17" t="str">
        <f>IF(_2023_06\Expected_Income[[#This Row],[Source]]="Advantage",_2023_06\Expected_Income[[#This Row],[Gross Income]]*$K$43,IF(_2023_06\Expected_Income[[#This Row],[Source]]="Saline", _2023_06\Expected_Income[[#This Row],[Gross Income]]*$K$44, " "))</f>
        <v xml:space="preserve"> </v>
      </c>
      <c r="M57" s="20" t="str">
        <f>IF(_2023_06\Expected_Income[[#This Row],[Source]]="Advantage",$L$43,IF(_2023_06\Expected_Income[[#This Row],[Source]]="Saline", $L$44, " "))</f>
        <v xml:space="preserve"> </v>
      </c>
      <c r="N57" s="17" t="str">
        <f>IF(_2023_06\Expected_Income[[#This Row],[Source]]="Advantage",$M$43,IF(_2023_06\Expected_Income[[#This Row],[Source]]="Saline", $M$44, " "))</f>
        <v xml:space="preserve"> </v>
      </c>
      <c r="O57" s="17" t="str">
        <f>IF(_2023_06\Expected_Income[[#This Row],[Source]]&lt;&gt; "", $J$45*(_2023_06\Expected_Income[[#This Row],[Gross Income]]-_2023_06\Expected_Income[[#This Row],[Retirement Contributions]]-_2023_06\Expected_Income[[#This Row],[Healthcare Deductions]]-_2023_06\Expected_Income[[#This Row],[Other Payroll Deductions]]), "")</f>
        <v/>
      </c>
      <c r="P57" s="17" t="str">
        <f>IF(_2023_06\Expected_Income[[#This Row],[Source]]&lt;&gt;"", _2023_06\Expected_Income[[#This Row],[Gross Income]]-_2023_06\Expected_Income[[#This Row],[Retirement Contributions]]-_2023_06\Expected_Income[[#This Row],[Healthcare Deductions]]-_2023_06\Expected_Income[[#This Row],[Other Payroll Deductions]]-_2023_06\Expected_Income[[#This Row],[Taxes]], "")</f>
        <v/>
      </c>
    </row>
    <row r="58" spans="2:16" x14ac:dyDescent="0.25">
      <c r="B58" s="6"/>
      <c r="C58" s="4"/>
      <c r="D58" s="4"/>
      <c r="E58" s="4"/>
      <c r="F58" s="4"/>
      <c r="G58" s="10"/>
    </row>
    <row r="59" spans="2:16" ht="23.25" x14ac:dyDescent="0.35">
      <c r="B59" s="6"/>
      <c r="C59" s="4"/>
      <c r="D59" s="4"/>
      <c r="E59" s="4"/>
      <c r="F59" s="4"/>
      <c r="G59" s="10"/>
      <c r="I59" s="2" t="s">
        <v>31</v>
      </c>
    </row>
    <row r="60" spans="2:16" x14ac:dyDescent="0.25">
      <c r="B60" s="6"/>
      <c r="C60" s="4"/>
      <c r="D60" s="4"/>
      <c r="E60" s="4"/>
      <c r="F60" s="4"/>
      <c r="G60" s="10"/>
      <c r="I60" s="1" t="s">
        <v>9</v>
      </c>
      <c r="J60" s="1" t="s">
        <v>21</v>
      </c>
      <c r="K60" s="1" t="s">
        <v>24</v>
      </c>
      <c r="L60" s="1" t="s">
        <v>25</v>
      </c>
      <c r="M60" s="1" t="s">
        <v>28</v>
      </c>
      <c r="N60" s="1" t="s">
        <v>26</v>
      </c>
      <c r="O60" s="1" t="s">
        <v>29</v>
      </c>
      <c r="P60" s="1" t="s">
        <v>27</v>
      </c>
    </row>
    <row r="61" spans="2:16" x14ac:dyDescent="0.25">
      <c r="B61" s="6"/>
      <c r="C61" s="4"/>
      <c r="D61" s="4"/>
      <c r="E61" s="4"/>
      <c r="F61" s="4"/>
      <c r="G61" s="10"/>
      <c r="I61" s="6"/>
      <c r="J61" s="4"/>
      <c r="K61" s="5"/>
      <c r="L61" s="5"/>
      <c r="M61" s="10"/>
      <c r="N61" s="5"/>
      <c r="O61" s="5"/>
      <c r="P61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2" spans="2:16" x14ac:dyDescent="0.25">
      <c r="B62" s="6"/>
      <c r="C62" s="4"/>
      <c r="D62" s="4"/>
      <c r="E62" s="4"/>
      <c r="F62" s="4"/>
      <c r="G62" s="10"/>
      <c r="I62" s="6"/>
      <c r="J62" s="4"/>
      <c r="K62" s="5"/>
      <c r="L62" s="5"/>
      <c r="M62" s="10"/>
      <c r="N62" s="5"/>
      <c r="O62" s="5"/>
      <c r="P62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3" spans="2:16" x14ac:dyDescent="0.25">
      <c r="B63" s="6"/>
      <c r="C63" s="4"/>
      <c r="D63" s="4"/>
      <c r="E63" s="4"/>
      <c r="F63" s="4"/>
      <c r="G63" s="10"/>
      <c r="I63" s="6"/>
      <c r="J63" s="4"/>
      <c r="K63" s="5"/>
      <c r="L63" s="5"/>
      <c r="M63" s="10"/>
      <c r="N63" s="5"/>
      <c r="O63" s="5"/>
      <c r="P63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4" spans="2:16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10"/>
      <c r="N64" s="5"/>
      <c r="O64" s="5"/>
      <c r="P64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5" spans="2:16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10"/>
      <c r="N65" s="5"/>
      <c r="O65" s="5"/>
      <c r="P65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6" spans="2:16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10"/>
      <c r="N66" s="5"/>
      <c r="O66" s="5"/>
      <c r="P66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7" spans="2:16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10"/>
      <c r="N67" s="5"/>
      <c r="O67" s="5"/>
      <c r="P67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8" spans="2:16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10"/>
      <c r="N68" s="5"/>
      <c r="O68" s="5"/>
      <c r="P68" s="15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69" spans="2:16" x14ac:dyDescent="0.25">
      <c r="B69" s="6"/>
      <c r="C69" s="4"/>
      <c r="D69" s="4"/>
      <c r="E69" s="4"/>
      <c r="F69" s="4"/>
      <c r="G69" s="10"/>
      <c r="I69" s="8"/>
      <c r="J69" s="7"/>
      <c r="K69" s="9"/>
      <c r="L69" s="9"/>
      <c r="M69" s="12"/>
      <c r="N69" s="9"/>
      <c r="O69" s="9"/>
      <c r="P69" s="17">
        <f>_2023_06\Actual_Income[[#This Row],[Gross Income]]-_2023_06\Actual_Income[[#This Row],[Retirement Contributions]]-_2023_06\Actual_Income[[#This Row],[Healthcare Deductions]]-_2023_06\Actual_Income[[#This Row],[Other Payroll Deductions]]-_2023_06\Actual_Income[[#This Row],[Taxes]]</f>
        <v>0</v>
      </c>
    </row>
    <row r="70" spans="2:16" x14ac:dyDescent="0.25">
      <c r="B70" s="6"/>
      <c r="C70" s="4"/>
      <c r="D70" s="4"/>
      <c r="E70" s="4"/>
      <c r="F70" s="4"/>
      <c r="G70" s="10"/>
    </row>
    <row r="71" spans="2:16" x14ac:dyDescent="0.25">
      <c r="B71" s="6"/>
      <c r="C71" s="4"/>
      <c r="D71" s="4"/>
      <c r="E71" s="4"/>
      <c r="F71" s="4"/>
      <c r="G71" s="10"/>
    </row>
    <row r="72" spans="2:16" x14ac:dyDescent="0.25">
      <c r="B72" s="6"/>
      <c r="C72" s="4"/>
      <c r="D72" s="4"/>
      <c r="E72" s="4"/>
      <c r="F72" s="4"/>
      <c r="G72" s="10"/>
    </row>
    <row r="73" spans="2:16" x14ac:dyDescent="0.25">
      <c r="B73" s="6"/>
      <c r="C73" s="4"/>
      <c r="D73" s="4"/>
      <c r="E73" s="4"/>
      <c r="F73" s="4"/>
      <c r="G73" s="10"/>
    </row>
    <row r="74" spans="2:16" x14ac:dyDescent="0.25">
      <c r="B74" s="6"/>
      <c r="C74" s="4"/>
      <c r="D74" s="4"/>
      <c r="E74" s="4"/>
      <c r="F74" s="4"/>
      <c r="G74" s="10"/>
    </row>
    <row r="75" spans="2:16" x14ac:dyDescent="0.25">
      <c r="B75" s="6"/>
      <c r="C75" s="4"/>
      <c r="D75" s="4"/>
      <c r="E75" s="4"/>
      <c r="F75" s="4"/>
      <c r="G75" s="10"/>
    </row>
    <row r="76" spans="2:16" x14ac:dyDescent="0.25">
      <c r="B76" s="6"/>
      <c r="C76" s="4"/>
      <c r="D76" s="4"/>
      <c r="E76" s="4"/>
      <c r="F76" s="4"/>
      <c r="G76" s="10"/>
    </row>
    <row r="77" spans="2:16" x14ac:dyDescent="0.25">
      <c r="B77" s="6"/>
      <c r="C77" s="4"/>
      <c r="D77" s="4"/>
      <c r="E77" s="4"/>
      <c r="F77" s="4"/>
      <c r="G77" s="10"/>
    </row>
    <row r="78" spans="2:16" x14ac:dyDescent="0.25">
      <c r="B78" s="6"/>
      <c r="C78" s="4"/>
      <c r="D78" s="4"/>
      <c r="E78" s="4"/>
      <c r="F78" s="4"/>
      <c r="G78" s="10"/>
    </row>
    <row r="79" spans="2:16" x14ac:dyDescent="0.25">
      <c r="B79" s="6"/>
      <c r="C79" s="4"/>
      <c r="D79" s="4"/>
      <c r="E79" s="4"/>
      <c r="F79" s="4"/>
      <c r="G79" s="10"/>
    </row>
    <row r="80" spans="2:16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conditionalFormatting sqref="G95:G120">
    <cfRule type="expression" dxfId="66" priority="30">
      <formula>AND(INDIRECT("_" &amp; SUBSTITUTE($C$2,"-","_") &amp; "\Transactions[@Category]") &lt;&gt; "Savings", INDIRECT("_" &amp; SUBSTITUTE($C$2,"-","_") &amp; "\Transactions[@Type]") = "Credit")</formula>
    </cfRule>
    <cfRule type="expression" dxfId="65" priority="31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55:G94">
    <cfRule type="expression" dxfId="64" priority="14">
      <formula>AND(INDIRECT("_" &amp; SUBSTITUTE($C$2,"-","_") &amp; "\Transactions[@Category]") &lt;&gt; "Savings", INDIRECT("_" &amp; SUBSTITUTE($C$2,"-","_") &amp; "\Transactions[@Type]") = "Credit")</formula>
    </cfRule>
    <cfRule type="expression" dxfId="63" priority="15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62" priority="12">
      <formula>AND(INDIRECT("_" &amp; SUBSTITUTE($C$2,"-","_") &amp; "\Transactions[@Category]") &lt;&gt; "Savings", INDIRECT("_" &amp; SUBSTITUTE($C$2,"-","_") &amp; "\Transactions[@Type]") = "Credit")</formula>
    </cfRule>
    <cfRule type="expression" dxfId="61" priority="13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2">
    <cfRule type="expression" dxfId="60" priority="9">
      <formula>AND(INDIRECT("_" &amp; SUBSTITUTE($C$2,"-","_") &amp; "\Budgets[@Type]")&lt;&gt;"Saving", INDIRECT("_" &amp; SUBSTITUTE($C$2,"-","_") &amp; "\Budgets[@[Remaining Budget]]")&lt;0)</formula>
    </cfRule>
    <cfRule type="expression" dxfId="59" priority="10">
      <formula>AND(INDIRECT("_" &amp; SUBSTITUTE($C$2,"-","_") &amp; "\Budgets[@Type]")="Saving", INDIRECT("_" &amp; SUBSTITUTE($C$2,"-","_") &amp; "\Budgets[@[Remaining Budget]]")&lt;0)</formula>
    </cfRule>
    <cfRule type="expression" dxfId="58" priority="11">
      <formula>AND(INDIRECT("_" &amp; SUBSTITUTE($C$2,"-","_") &amp; "\Budgets[@Type]")="Saving", INDIRECT("_" &amp; SUBSTITUTE($C$2,"-","_") &amp; "\Budgets[@[Remaining Budget]]")&gt;0)</formula>
    </cfRule>
  </conditionalFormatting>
  <conditionalFormatting sqref="E5 E10">
    <cfRule type="expression" dxfId="57" priority="5">
      <formula>E5&lt;0</formula>
    </cfRule>
    <cfRule type="expression" dxfId="56" priority="6">
      <formula>E5&gt;0</formula>
    </cfRule>
  </conditionalFormatting>
  <conditionalFormatting sqref="E6:E9">
    <cfRule type="expression" dxfId="55" priority="7">
      <formula>E6&lt;0</formula>
    </cfRule>
    <cfRule type="expression" dxfId="54" priority="8">
      <formula>E6&gt;0</formula>
    </cfRule>
  </conditionalFormatting>
  <conditionalFormatting sqref="E14">
    <cfRule type="expression" dxfId="53" priority="1">
      <formula>E14&lt;0</formula>
    </cfRule>
    <cfRule type="expression" dxfId="52" priority="2">
      <formula>E14&gt;0</formula>
    </cfRule>
  </conditionalFormatting>
  <conditionalFormatting sqref="E13 E15">
    <cfRule type="expression" dxfId="51" priority="3">
      <formula>E13&lt;0</formula>
    </cfRule>
    <cfRule type="expression" dxfId="50" priority="4">
      <formula>E13&gt;0</formula>
    </cfRule>
  </conditionalFormatting>
  <dataValidations count="5">
    <dataValidation type="list" allowBlank="1" showInputMessage="1" showErrorMessage="1" sqref="F20:F120" xr:uid="{BDBA546D-D256-4FC1-82AA-7A7A23940BF6}">
      <formula1>"Credit,Debit"</formula1>
    </dataValidation>
    <dataValidation type="list" allowBlank="1" showInputMessage="1" showErrorMessage="1" sqref="J26:J39" xr:uid="{D900F0C6-9D1F-4D40-927A-C6AF0A989A0F}">
      <formula1>"Spending,Reserve,Savings,Loan,Safety Net,Retirement"</formula1>
    </dataValidation>
    <dataValidation type="list" allowBlank="1" showInputMessage="1" showErrorMessage="1" sqref="E20:E120" xr:uid="{A5532B01-0AE4-4AF3-A010-9CD81D53BE7B}">
      <formula1>INDIRECT("_" &amp; SUBSTITUTE($C$2,"-","_") &amp; "\Budgets[Name]")</formula1>
    </dataValidation>
    <dataValidation type="list" showInputMessage="1" showErrorMessage="1" sqref="J20" xr:uid="{CF21786A-DC52-41AF-A3DD-C50CFDD7107C}">
      <formula1>"Rolling,Fixed,Saving"</formula1>
    </dataValidation>
    <dataValidation type="list" showInputMessage="1" showErrorMessage="1" sqref="J6:J19" xr:uid="{16699D97-2E39-45D1-B886-578C0F59D119}">
      <formula1>"Rolling,Fixed"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2023-08</vt:lpstr>
      <vt:lpstr>2023-07</vt:lpstr>
      <vt:lpstr>2023-06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2023-08-20T18:39:23Z</dcterms:modified>
</cp:coreProperties>
</file>