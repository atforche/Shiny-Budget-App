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Shiny Budget App\res\"/>
    </mc:Choice>
  </mc:AlternateContent>
  <xr:revisionPtr revIDLastSave="0" documentId="13_ncr:1_{40673F73-C722-40E1-8A1F-C410B5037DE1}" xr6:coauthVersionLast="47" xr6:coauthVersionMax="47" xr10:uidLastSave="{00000000-0000-0000-0000-000000000000}"/>
  <bookViews>
    <workbookView xWindow="-120" yWindow="-120" windowWidth="38640" windowHeight="21120" xr2:uid="{4A682B92-E955-49E4-9CBC-FB857D42C240}"/>
  </bookViews>
  <sheets>
    <sheet name="Template" sheetId="24" r:id="rId1"/>
    <sheet name="2023-12" sheetId="38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0" i="38" l="1"/>
  <c r="Q60" i="38"/>
  <c r="P60" i="38"/>
  <c r="O60" i="38"/>
  <c r="N60" i="38"/>
  <c r="M60" i="38"/>
  <c r="L60" i="38"/>
  <c r="K60" i="38"/>
  <c r="R59" i="38"/>
  <c r="Q59" i="38"/>
  <c r="P59" i="38"/>
  <c r="O59" i="38"/>
  <c r="N59" i="38"/>
  <c r="M59" i="38"/>
  <c r="L59" i="38"/>
  <c r="K59" i="38"/>
  <c r="R58" i="38"/>
  <c r="Q58" i="38"/>
  <c r="P58" i="38"/>
  <c r="O58" i="38"/>
  <c r="N58" i="38"/>
  <c r="M58" i="38"/>
  <c r="L58" i="38"/>
  <c r="K58" i="38"/>
  <c r="R57" i="38"/>
  <c r="Q57" i="38"/>
  <c r="P57" i="38"/>
  <c r="O57" i="38"/>
  <c r="N57" i="38"/>
  <c r="M57" i="38"/>
  <c r="L57" i="38"/>
  <c r="K57" i="38"/>
  <c r="R56" i="38"/>
  <c r="Q56" i="38"/>
  <c r="P56" i="38"/>
  <c r="O56" i="38"/>
  <c r="N56" i="38"/>
  <c r="M56" i="38"/>
  <c r="L56" i="38"/>
  <c r="K56" i="38"/>
  <c r="Q55" i="38"/>
  <c r="P55" i="38"/>
  <c r="O55" i="38"/>
  <c r="L55" i="38"/>
  <c r="K55" i="38"/>
  <c r="N55" i="38" s="1"/>
  <c r="Q54" i="38"/>
  <c r="P54" i="38"/>
  <c r="O54" i="38"/>
  <c r="L54" i="38"/>
  <c r="K54" i="38"/>
  <c r="Q53" i="38"/>
  <c r="P53" i="38"/>
  <c r="O53" i="38"/>
  <c r="L53" i="38"/>
  <c r="K53" i="38"/>
  <c r="M53" i="38" s="1"/>
  <c r="Q52" i="38"/>
  <c r="P52" i="38"/>
  <c r="O52" i="38"/>
  <c r="L52" i="38"/>
  <c r="K52" i="38"/>
  <c r="Q52" i="24"/>
  <c r="Q53" i="24"/>
  <c r="Q54" i="24"/>
  <c r="Q55" i="24"/>
  <c r="Q56" i="24"/>
  <c r="Q57" i="24"/>
  <c r="Q58" i="24"/>
  <c r="Q59" i="24"/>
  <c r="Q60" i="24"/>
  <c r="P52" i="24"/>
  <c r="P53" i="24"/>
  <c r="P54" i="24"/>
  <c r="P55" i="24"/>
  <c r="P56" i="24"/>
  <c r="P57" i="24"/>
  <c r="P58" i="24"/>
  <c r="P59" i="24"/>
  <c r="P60" i="24"/>
  <c r="O52" i="24"/>
  <c r="O53" i="24"/>
  <c r="O54" i="24"/>
  <c r="O55" i="24"/>
  <c r="O56" i="24"/>
  <c r="O57" i="24"/>
  <c r="O58" i="24"/>
  <c r="O59" i="24"/>
  <c r="O60" i="24"/>
  <c r="N52" i="24"/>
  <c r="N53" i="24"/>
  <c r="N54" i="24"/>
  <c r="N55" i="24"/>
  <c r="N56" i="24"/>
  <c r="N57" i="24"/>
  <c r="N58" i="24"/>
  <c r="N59" i="24"/>
  <c r="N60" i="24"/>
  <c r="M52" i="24"/>
  <c r="M53" i="24"/>
  <c r="M54" i="24"/>
  <c r="M55" i="24"/>
  <c r="M56" i="24"/>
  <c r="M57" i="24"/>
  <c r="M58" i="24"/>
  <c r="M59" i="24"/>
  <c r="M60" i="24"/>
  <c r="L52" i="24"/>
  <c r="L53" i="24"/>
  <c r="L54" i="24"/>
  <c r="L55" i="24"/>
  <c r="L56" i="24"/>
  <c r="L57" i="24"/>
  <c r="L58" i="24"/>
  <c r="L59" i="24"/>
  <c r="L60" i="24"/>
  <c r="K52" i="24"/>
  <c r="K53" i="24"/>
  <c r="K54" i="24"/>
  <c r="K55" i="24"/>
  <c r="K56" i="24"/>
  <c r="K57" i="24"/>
  <c r="K58" i="24"/>
  <c r="K59" i="24"/>
  <c r="K60" i="24"/>
  <c r="R60" i="24"/>
  <c r="R59" i="24"/>
  <c r="R58" i="24"/>
  <c r="R57" i="24"/>
  <c r="R56" i="24"/>
  <c r="R55" i="24"/>
  <c r="R54" i="24"/>
  <c r="R53" i="24"/>
  <c r="R52" i="24"/>
  <c r="M52" i="38" l="1"/>
  <c r="R52" i="38" s="1"/>
  <c r="N52" i="38"/>
  <c r="M55" i="38"/>
  <c r="R55" i="38" s="1"/>
  <c r="M54" i="38"/>
  <c r="N54" i="38"/>
  <c r="N53" i="38"/>
  <c r="R53" i="38" s="1"/>
  <c r="R54" i="38" l="1"/>
  <c r="L24" i="24"/>
  <c r="L24" i="38"/>
  <c r="R72" i="38"/>
  <c r="R71" i="38"/>
  <c r="R70" i="38"/>
  <c r="R69" i="38"/>
  <c r="R68" i="38"/>
  <c r="R67" i="38"/>
  <c r="R66" i="38"/>
  <c r="R65" i="38"/>
  <c r="R64" i="38"/>
  <c r="L23" i="38"/>
  <c r="L22" i="38"/>
  <c r="L21" i="38"/>
  <c r="L20" i="38"/>
  <c r="L16" i="38"/>
  <c r="L14" i="38"/>
  <c r="L12" i="38"/>
  <c r="L11" i="38"/>
  <c r="L10" i="38"/>
  <c r="L9" i="38"/>
  <c r="L7" i="38"/>
  <c r="C2" i="38" a="1"/>
  <c r="C2" i="38" s="1"/>
  <c r="R64" i="24"/>
  <c r="R65" i="24"/>
  <c r="R66" i="24"/>
  <c r="R67" i="24"/>
  <c r="R68" i="24"/>
  <c r="R69" i="24"/>
  <c r="R70" i="24"/>
  <c r="R71" i="24"/>
  <c r="R72" i="24"/>
  <c r="L23" i="24"/>
  <c r="L22" i="24"/>
  <c r="L21" i="24"/>
  <c r="L20" i="24"/>
  <c r="L16" i="24"/>
  <c r="L14" i="24"/>
  <c r="L12" i="24"/>
  <c r="L11" i="24"/>
  <c r="L10" i="24"/>
  <c r="L9" i="24"/>
  <c r="L7" i="24"/>
  <c r="C2" i="24" a="1"/>
  <c r="C2" i="24" s="1"/>
  <c r="E2" i="24" l="1"/>
  <c r="E2" i="38"/>
  <c r="O23" i="24"/>
  <c r="N21" i="24"/>
  <c r="N18" i="24"/>
  <c r="N11" i="24"/>
  <c r="D9" i="38"/>
  <c r="N20" i="24"/>
  <c r="C7" i="24"/>
  <c r="O21" i="38"/>
  <c r="D6" i="24"/>
  <c r="N12" i="38"/>
  <c r="D7" i="38"/>
  <c r="D6" i="38"/>
  <c r="C8" i="24"/>
  <c r="O10" i="24"/>
  <c r="C6" i="24"/>
  <c r="O20" i="24"/>
  <c r="O13" i="24"/>
  <c r="O22" i="38"/>
  <c r="N16" i="24"/>
  <c r="O11" i="38"/>
  <c r="D10" i="38"/>
  <c r="N23" i="38"/>
  <c r="O22" i="24"/>
  <c r="O19" i="38"/>
  <c r="O15" i="24"/>
  <c r="O10" i="38"/>
  <c r="N13" i="24"/>
  <c r="N8" i="38"/>
  <c r="O8" i="24"/>
  <c r="O13" i="38"/>
  <c r="O21" i="24"/>
  <c r="C13" i="38"/>
  <c r="N17" i="38"/>
  <c r="D8" i="38"/>
  <c r="C14" i="38"/>
  <c r="C10" i="24"/>
  <c r="O17" i="38"/>
  <c r="N6" i="38"/>
  <c r="N7" i="38"/>
  <c r="D5" i="24"/>
  <c r="N9" i="24"/>
  <c r="C13" i="24"/>
  <c r="O15" i="38"/>
  <c r="N19" i="38"/>
  <c r="O23" i="38"/>
  <c r="O19" i="24"/>
  <c r="D10" i="24"/>
  <c r="D13" i="24"/>
  <c r="N23" i="24"/>
  <c r="N7" i="24"/>
  <c r="N8" i="24"/>
  <c r="O12" i="38"/>
  <c r="O18" i="24"/>
  <c r="O9" i="24"/>
  <c r="N13" i="38"/>
  <c r="D5" i="38"/>
  <c r="N24" i="24"/>
  <c r="N22" i="24"/>
  <c r="O7" i="38"/>
  <c r="C7" i="38"/>
  <c r="C5" i="38"/>
  <c r="D9" i="24"/>
  <c r="N12" i="24"/>
  <c r="D7" i="24"/>
  <c r="N20" i="38"/>
  <c r="O6" i="38"/>
  <c r="N15" i="38"/>
  <c r="C5" i="24"/>
  <c r="O16" i="24"/>
  <c r="O9" i="38"/>
  <c r="N10" i="38"/>
  <c r="O6" i="24"/>
  <c r="C8" i="38"/>
  <c r="N6" i="24"/>
  <c r="O14" i="24"/>
  <c r="D8" i="24"/>
  <c r="N14" i="24"/>
  <c r="O14" i="38"/>
  <c r="C9" i="24"/>
  <c r="O17" i="24"/>
  <c r="N24" i="38"/>
  <c r="O24" i="24"/>
  <c r="N18" i="38"/>
  <c r="O24" i="38"/>
  <c r="O7" i="24"/>
  <c r="N9" i="38"/>
  <c r="N22" i="38"/>
  <c r="N19" i="24"/>
  <c r="O8" i="38"/>
  <c r="N16" i="38"/>
  <c r="N21" i="38"/>
  <c r="N11" i="38"/>
  <c r="N17" i="24"/>
  <c r="C14" i="24"/>
  <c r="D14" i="24"/>
  <c r="O20" i="38"/>
  <c r="O12" i="24"/>
  <c r="O11" i="24"/>
  <c r="O18" i="38"/>
  <c r="N14" i="38"/>
  <c r="O16" i="38"/>
  <c r="N15" i="24"/>
  <c r="N10" i="24"/>
  <c r="E14" i="24" l="1"/>
  <c r="P16" i="24"/>
  <c r="P10" i="24"/>
  <c r="P24" i="24"/>
  <c r="P14" i="24"/>
  <c r="P11" i="24"/>
  <c r="C15" i="24"/>
  <c r="C16" i="24"/>
  <c r="E10" i="24"/>
  <c r="P12" i="24"/>
  <c r="P22" i="24"/>
  <c r="P20" i="24"/>
  <c r="E6" i="24"/>
  <c r="P23" i="24"/>
  <c r="E7" i="24"/>
  <c r="E9" i="24"/>
  <c r="E8" i="24"/>
  <c r="E13" i="24"/>
  <c r="P9" i="24"/>
  <c r="P21" i="24"/>
  <c r="P7" i="24"/>
  <c r="E5" i="24"/>
  <c r="P14" i="38"/>
  <c r="C15" i="38"/>
  <c r="P22" i="38"/>
  <c r="P12" i="38"/>
  <c r="P24" i="38"/>
  <c r="P16" i="38"/>
  <c r="P9" i="38"/>
  <c r="P21" i="38"/>
  <c r="P11" i="38"/>
  <c r="P20" i="38"/>
  <c r="E7" i="38"/>
  <c r="P10" i="38"/>
  <c r="E5" i="38"/>
  <c r="P23" i="38"/>
  <c r="E8" i="38"/>
  <c r="P7" i="38"/>
  <c r="L8" i="24"/>
  <c r="L18" i="24"/>
  <c r="L13" i="24"/>
  <c r="C6" i="38"/>
  <c r="L17" i="24"/>
  <c r="L6" i="24"/>
  <c r="D14" i="38"/>
  <c r="L19" i="24"/>
  <c r="L15" i="24"/>
  <c r="D13" i="38"/>
  <c r="E6" i="38" l="1"/>
  <c r="E13" i="38"/>
  <c r="E14" i="38"/>
  <c r="P6" i="24"/>
  <c r="P19" i="24"/>
  <c r="P13" i="24"/>
  <c r="P17" i="24"/>
  <c r="P18" i="24"/>
  <c r="P15" i="24"/>
  <c r="P8" i="24"/>
  <c r="C9" i="38"/>
  <c r="E9" i="38" l="1"/>
  <c r="C10" i="38"/>
  <c r="C16" i="38" l="1"/>
  <c r="E10" i="38"/>
  <c r="L19" i="38"/>
  <c r="P19" i="38" l="1"/>
  <c r="L18" i="38"/>
  <c r="P18" i="38" l="1"/>
  <c r="L15" i="38"/>
  <c r="L17" i="38"/>
  <c r="L6" i="38"/>
  <c r="L13" i="38"/>
  <c r="L8" i="38"/>
  <c r="P6" i="38" l="1"/>
  <c r="P8" i="38"/>
  <c r="P13" i="38"/>
  <c r="P15" i="38"/>
  <c r="P17" i="3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<sst xmlns="http://schemas.openxmlformats.org/spreadsheetml/2006/main" count="150" uniqueCount="52">
  <si>
    <t>Budgets</t>
  </si>
  <si>
    <t>Type</t>
  </si>
  <si>
    <t>Amount</t>
  </si>
  <si>
    <t>Rollover From Last Month</t>
  </si>
  <si>
    <t>Remaining Budget</t>
  </si>
  <si>
    <t>Name</t>
  </si>
  <si>
    <t>Income</t>
  </si>
  <si>
    <t>Override Rollover Amount</t>
  </si>
  <si>
    <t>Transactions</t>
  </si>
  <si>
    <t>Date</t>
  </si>
  <si>
    <t>Location</t>
  </si>
  <si>
    <t>Description</t>
  </si>
  <si>
    <t>Category</t>
  </si>
  <si>
    <t>Current Month:</t>
  </si>
  <si>
    <t>Previous Month:</t>
  </si>
  <si>
    <t>First Monday</t>
  </si>
  <si>
    <t>Second Monday</t>
  </si>
  <si>
    <t>Third Monday</t>
  </si>
  <si>
    <t>Fourth Monday</t>
  </si>
  <si>
    <t>Fifth Monday</t>
  </si>
  <si>
    <t>Account Balances</t>
  </si>
  <si>
    <t>Source</t>
  </si>
  <si>
    <t>Total Debits</t>
  </si>
  <si>
    <t>Total Credits</t>
  </si>
  <si>
    <t>Retirement Contributions</t>
  </si>
  <si>
    <t>Other Payroll Deductions</t>
  </si>
  <si>
    <t>Net Income</t>
  </si>
  <si>
    <t>Healthcare Deductions</t>
  </si>
  <si>
    <t>Taxes</t>
  </si>
  <si>
    <t>Expected Income</t>
  </si>
  <si>
    <t>Actual Income</t>
  </si>
  <si>
    <t>Gross Income:</t>
  </si>
  <si>
    <t>Retirement Contributions:</t>
  </si>
  <si>
    <t>Taxes:</t>
  </si>
  <si>
    <t>Net Income:</t>
  </si>
  <si>
    <t>Expected</t>
  </si>
  <si>
    <t>Actual</t>
  </si>
  <si>
    <t>Difference</t>
  </si>
  <si>
    <t>Andy:</t>
  </si>
  <si>
    <t>Sara:</t>
  </si>
  <si>
    <t>Expected Rates</t>
  </si>
  <si>
    <t>Expenses:</t>
  </si>
  <si>
    <t>Savings:</t>
  </si>
  <si>
    <t>Budgeted</t>
  </si>
  <si>
    <t>Other Payroll Deductions:</t>
  </si>
  <si>
    <t>Healthcare Deductions:</t>
  </si>
  <si>
    <t>Remaining Unbudgeted Amount:</t>
  </si>
  <si>
    <t>Total Amount:</t>
  </si>
  <si>
    <t>Salary Income</t>
  </si>
  <si>
    <t>Additional Taxable Income</t>
  </si>
  <si>
    <t>Pension Contributions</t>
  </si>
  <si>
    <t>Tax Withholding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</si>
</sst>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;[Red]&quot;$&quot;#,##0.00"/>
    <numFmt numFmtId="165" formatCode="&quot;$&quot;#,##0.00"/>
    <numFmt numFmtId="166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9ED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0" fontId="0" fillId="2" borderId="1" xfId="0" applyFill="1" applyBorder="1" applyProtection="1">
      <protection locked="0"/>
    </xf>
    <xf numFmtId="164" fontId="0" fillId="2" borderId="1" xfId="0" applyNumberFormat="1" applyFill="1" applyBorder="1" applyProtection="1">
      <protection locked="0"/>
    </xf>
    <xf numFmtId="14" fontId="0" fillId="2" borderId="1" xfId="0" applyNumberFormat="1" applyFill="1" applyBorder="1" applyProtection="1">
      <protection locked="0"/>
    </xf>
    <xf numFmtId="0" fontId="0" fillId="2" borderId="2" xfId="0" applyFill="1" applyBorder="1" applyProtection="1">
      <protection locked="0"/>
    </xf>
    <xf numFmtId="14" fontId="0" fillId="2" borderId="2" xfId="0" applyNumberFormat="1" applyFill="1" applyBorder="1" applyProtection="1">
      <protection locked="0"/>
    </xf>
    <xf numFmtId="164" fontId="0" fillId="2" borderId="2" xfId="0" applyNumberFormat="1" applyFill="1" applyBorder="1" applyProtection="1">
      <protection locked="0"/>
    </xf>
    <xf numFmtId="165" fontId="0" fillId="2" borderId="1" xfId="0" applyNumberFormat="1" applyFill="1" applyBorder="1" applyProtection="1">
      <protection locked="0"/>
    </xf>
    <xf numFmtId="165" fontId="0" fillId="2" borderId="1" xfId="0" applyNumberFormat="1" applyFill="1" applyBorder="1"/>
    <xf numFmtId="165" fontId="0" fillId="2" borderId="2" xfId="0" applyNumberFormat="1" applyFill="1" applyBorder="1" applyProtection="1">
      <protection locked="0"/>
    </xf>
    <xf numFmtId="165" fontId="0" fillId="2" borderId="2" xfId="0" applyNumberFormat="1" applyFill="1" applyBorder="1"/>
    <xf numFmtId="165" fontId="0" fillId="0" borderId="0" xfId="0" applyNumberFormat="1"/>
    <xf numFmtId="164" fontId="0" fillId="0" borderId="1" xfId="0" applyNumberFormat="1" applyBorder="1"/>
    <xf numFmtId="165" fontId="0" fillId="0" borderId="1" xfId="0" applyNumberFormat="1" applyBorder="1"/>
    <xf numFmtId="164" fontId="0" fillId="0" borderId="2" xfId="0" applyNumberFormat="1" applyBorder="1"/>
    <xf numFmtId="164" fontId="0" fillId="2" borderId="1" xfId="0" applyNumberFormat="1" applyFill="1" applyBorder="1" applyAlignment="1">
      <alignment horizontal="right" readingOrder="2"/>
    </xf>
    <xf numFmtId="164" fontId="0" fillId="2" borderId="2" xfId="0" applyNumberFormat="1" applyFill="1" applyBorder="1" applyAlignment="1">
      <alignment horizontal="right" readingOrder="2"/>
    </xf>
    <xf numFmtId="165" fontId="0" fillId="0" borderId="2" xfId="0" applyNumberFormat="1" applyBorder="1"/>
    <xf numFmtId="9" fontId="0" fillId="2" borderId="1" xfId="0" applyNumberFormat="1" applyFill="1" applyBorder="1" applyProtection="1">
      <protection locked="0"/>
    </xf>
    <xf numFmtId="166" fontId="0" fillId="2" borderId="1" xfId="0" applyNumberFormat="1" applyFill="1" applyBorder="1" applyProtection="1">
      <protection locked="0"/>
    </xf>
  </cellXfs>
  <cellStyles count="1">
    <cellStyle name="Normal" xfId="0" builtinId="0"/>
  </cellStyles>
  <dxfs count="138"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B9EDFF"/>
      <color rgb="FFFF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17C888D4-D2A0-42A3-AF7A-69DDB6132627}" name="2023-08 (2)\Budgets" displayName="_2023_08__2_\Budgets_" ref="I5:P24" totalsRowShown="0" headerRowDxfId="122" dataDxfId="121">
  <autoFilter ref="I5:P24" xr:uid="{6993C61E-5182-4571-996F-3C4DB6F2B5F2}"/>
  <tableColumns count="8">
    <tableColumn id="1" xr3:uid="{83BDF8A9-16D5-4FAD-8883-B8AB4BF0CBF9}" name="Name" dataDxfId="120"/>
    <tableColumn id="2" xr3:uid="{DF4C47DB-0C38-4140-9A4F-CBFFCE84A85D}" name="Type" dataDxfId="119"/>
    <tableColumn id="3" xr3:uid="{D266A9E0-9F8B-47FD-BA0B-3E60FE29E3D1}" name="Amount" dataDxfId="118"/>
    <tableColumn id="4" xr3:uid="{02A995E3-B20A-4F4A-A6F7-7A14AF77ED1F}" name="Rollover From Last Month" dataDxfId="117">
      <calculatedColumnFormula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calculatedColumnFormula>
    </tableColumn>
    <tableColumn id="6" xr3:uid="{ADF04C24-7619-420B-BB47-052C5B44BEF4}" name="Override Rollover Amount" dataDxfId="116"/>
    <tableColumn id="7" xr3:uid="{0BB6F0D2-7D45-4C3E-9731-68F5C9C5C7B5}" name="Total Debits" dataDxfId="115">
      <calculatedColumnFormula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calculatedColumnFormula>
    </tableColumn>
    <tableColumn id="9" xr3:uid="{A939EBD1-196A-46D7-B1EA-B0874692155B}" name="Total Credits" dataDxfId="114">
      <calculatedColumnFormula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calculatedColumnFormula>
    </tableColumn>
    <tableColumn id="5" xr3:uid="{51181065-A55C-4635-93FD-180ED457A61F}" name="Remaining Budget" dataDxfId="113">
      <calculatedColumnFormula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D4247360-4C75-4EEA-A4C2-8C34C5F915EF}" name="2023-08 (2)\Transactions" displayName="_2023_08__2_\Transactions_" ref="B19:G120" totalsRowShown="0" headerRowDxfId="112" dataDxfId="111">
  <autoFilter ref="B19:G120" xr:uid="{EC46B62F-7A14-4839-B25C-76E755827075}"/>
  <tableColumns count="6">
    <tableColumn id="1" xr3:uid="{7477D824-16EA-4400-8A4A-A26D94B0BDB2}" name="Date" dataDxfId="110"/>
    <tableColumn id="2" xr3:uid="{4804B0F6-75F9-4C71-82B4-253110B76157}" name="Location" dataDxfId="109"/>
    <tableColumn id="3" xr3:uid="{5ECA2053-BFE4-4C1D-B7D3-3F5BE41BA416}" name="Description" dataDxfId="108"/>
    <tableColumn id="4" xr3:uid="{1D632AF3-D9F2-4D16-BAD9-56A43FE7CEDA}" name="Category" dataDxfId="107"/>
    <tableColumn id="6" xr3:uid="{7496558E-9DF8-4A02-8DAB-BF4F75986351}" name="Type" dataDxfId="106"/>
    <tableColumn id="5" xr3:uid="{C38D712B-2662-4B3B-A13E-3A4F0BC5BFC0}" name="Amount" dataDxfId="10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273FBC6-CF07-4A38-A070-C0C9DFF56067}" name="2023-08 (2)\Balances" displayName="_2023_08__2_\Balances_" ref="I27:O43" totalsRowShown="0" headerRowDxfId="104" dataDxfId="103" tableBorderDxfId="102">
  <autoFilter ref="I27:O43" xr:uid="{9874A6B0-EF6A-4DFE-B7B5-17DAD41163E3}"/>
  <tableColumns count="7">
    <tableColumn id="1" xr3:uid="{9E5C9582-5D2F-4C0A-ADB1-B75EFE305F06}" name="Name" dataDxfId="101"/>
    <tableColumn id="2" xr3:uid="{80AD80A2-4E70-45A8-91C7-AFB3CA3A6FC7}" name="Category" dataDxfId="100"/>
    <tableColumn id="3" xr3:uid="{AD75D4A6-C383-4C52-858E-D0105EB0DB85}" name="First Monday" dataDxfId="99"/>
    <tableColumn id="4" xr3:uid="{DC809384-94C0-4AD0-975B-7E980BFF2F3E}" name="Second Monday" dataDxfId="98"/>
    <tableColumn id="5" xr3:uid="{0BEFD098-ADC6-4E9E-84D7-31A05AA1394B}" name="Third Monday" dataDxfId="97"/>
    <tableColumn id="6" xr3:uid="{C9616504-7670-4B53-B90A-4D4E4EF3F460}" name="Fourth Monday" dataDxfId="96"/>
    <tableColumn id="7" xr3:uid="{91176B76-109E-468C-8E43-8389F167B35D}" name="Fifth Monday" dataDxfId="9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BD58F66-E887-4D29-9DAF-C8F7A14239A6}" name="2023-08 (2)\Actual_Income" displayName="_2023_08__2_\Actual_Income_" ref="I63:R72" totalsRowShown="0" headerRowDxfId="94" dataDxfId="93" tableBorderDxfId="92">
  <autoFilter ref="I63:R72" xr:uid="{E5E28DBB-8C36-4879-9321-9B9564D6F520}"/>
  <tableColumns count="10">
    <tableColumn id="1" xr3:uid="{0C0B9DAD-7953-441A-84BF-6A323C85C9AC}" name="Date" dataDxfId="91"/>
    <tableColumn id="2" xr3:uid="{63156741-6A32-4F93-B248-543E00DE0E35}" name="Source" dataDxfId="90"/>
    <tableColumn id="3" xr3:uid="{66130143-3A36-4DD3-911B-6EF33047C78D}" name="Salary Income" dataDxfId="89"/>
    <tableColumn id="9" xr3:uid="{778EDBCC-492F-4C5A-8ED1-4A0DB8B0D392}" name="Additional Taxable Income" dataDxfId="88"/>
    <tableColumn id="4" xr3:uid="{56CBED11-2DCE-449A-B1B5-0F87262530C2}" name="Retirement Contributions" dataDxfId="87"/>
    <tableColumn id="10" xr3:uid="{B406D7A7-4CF5-401B-8D9F-EA2F16341E57}" name="Pension Contributions" dataDxfId="86"/>
    <tableColumn id="5" xr3:uid="{3E3E4A85-604D-4BF0-8E1A-262CB28E4641}" name="Healthcare Deductions" dataDxfId="85"/>
    <tableColumn id="6" xr3:uid="{AD8EF7F8-E3CD-48C3-BD5D-27B5260F6A89}" name="Other Payroll Deductions" dataDxfId="84"/>
    <tableColumn id="7" xr3:uid="{7670475F-B64A-4B39-849D-FC97909C80BE}" name="Taxes" dataDxfId="83"/>
    <tableColumn id="8" xr3:uid="{686A1350-5F75-406D-80B0-9C2F3E1D733B}" name="Net Income" dataDxfId="82">
      <calculatedColumnFormula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1F211E9-6F2A-4972-B60E-3EBFC283182A}" name="_Template\Expected_Income" displayName="_Template\Expected_Income" ref="I51:R60" totalsRowShown="0" headerRowDxfId="81" dataDxfId="80" tableBorderDxfId="79">
  <autoFilter ref="I51:R60" xr:uid="{E1F211E9-6F2A-4972-B60E-3EBFC283182A}"/>
  <tableColumns count="10">
    <tableColumn id="1" xr3:uid="{D1027209-D19E-44CE-A04A-C05FC9C5C1E9}" name="Date" dataDxfId="78"/>
    <tableColumn id="2" xr3:uid="{FF5BF04A-8D11-4568-9358-F506E10F0F0F}" name="Source" dataDxfId="77"/>
    <tableColumn id="3" xr3:uid="{8669A025-1F75-4159-84C5-C3F6856204A1}" name="Salary Income" dataDxfId="76">
      <calculatedColumnFormula>IF(_Template\Expected_Income[[#This Row],[Source]]="Advantage",$J$47,IF(_Template\Expected_Income[[#This Row],[Source]]="Saline", $J$48, " "))</calculatedColumnFormula>
    </tableColumn>
    <tableColumn id="9" xr3:uid="{D08300FE-4240-4968-811D-4F0FA7B2FB37}" name="Additional Taxable Income" dataDxfId="75">
      <calculatedColumnFormula>IF(_Template\Expected_Income[[#This Row],[Source]]="Advantage",$K$47,IF(_Template\Expected_Income[[#This Row],[Source]]="Saline", $K$48, " "))</calculatedColumnFormula>
    </tableColumn>
    <tableColumn id="4" xr3:uid="{EFEA376C-6245-4B37-9234-A0AF0C6E9F66}" name="Retirement Contributions" dataDxfId="74">
      <calculatedColumnFormula>IF(_Template\Expected_Income[[#This Row],[Source]]="Advantage",(_Template\Expected_Income[[#This Row],[Salary Income]]+_Template\Expected_Income[[#This Row],[Additional Taxable Income]])*$L$47,IF(_Template\Expected_Income[[#This Row],[Source]]="Saline", (_Template\Expected_Income[[#This Row],[Salary Income]]+_Template\Expected_Income[[#This Row],[Additional Taxable Income]])*$L$48, " "))</calculatedColumnFormula>
    </tableColumn>
    <tableColumn id="10" xr3:uid="{2D73B860-12B6-4F14-83B5-41D22A1EAFDB}" name="Pension Contributions" dataDxfId="73">
      <calculatedColumnFormula>IF(_Template\Expected_Income[[#This Row],[Source]]="Advantage",_Template\Expected_Income[[#This Row],[Salary Income]]*$M$47,IF(_Template\Expected_Income[[#This Row],[Source]]="Saline", _Template\Expected_Income[[#This Row],[Salary Income]]*$M$48, " "))</calculatedColumnFormula>
    </tableColumn>
    <tableColumn id="5" xr3:uid="{B71A8947-7CE1-4302-A80C-E74E86651B2A}" name="Healthcare Deductions" dataDxfId="72">
      <calculatedColumnFormula>IF(_Template\Expected_Income[[#This Row],[Source]]="Advantage",$N$47,IF(_Template\Expected_Income[[#This Row],[Source]]="Saline", $N$48, " "))</calculatedColumnFormula>
    </tableColumn>
    <tableColumn id="6" xr3:uid="{872B6DEF-9B94-4E7A-A5DF-7B9BEC8757BC}" name="Other Payroll Deductions" dataDxfId="71">
      <calculatedColumnFormula>IF(_Template\Expected_Income[[#This Row],[Source]]="Advantage",$P$47,IF(_Template\Expected_Income[[#This Row],[Source]]="Saline", $P$48, " "))</calculatedColumnFormula>
    </tableColumn>
    <tableColumn id="7" xr3:uid="{BB4EE54C-1424-4743-B480-BB1BED8ED10A}" name="Taxes" dataDxfId="70">
      <calculatedColumnFormula>IF(_Template\Expected_Income[[#This Row],[Source]]="Advantage",$O$47,IF(_Template\Expected_Income[[#This Row],[Source]]="Saline", $O$48, " "))</calculatedColumnFormula>
    </tableColumn>
    <tableColumn id="8" xr3:uid="{747D7898-33A7-4CF4-9815-0923F7C76EFE}" name="Net Income" dataDxfId="69">
      <calculatedColumnFormula>IF(_Template\Expected_Income[[#This Row],[Source]]&lt;&gt;"", _Template\Expected_Income[[#This Row],[Salary Income]]+_Template\Expected_Income[[#This Row],[Additional Taxable Income]]-_Template\Expected_Income[[#This Row],[Retirement Contributions]]-_Template\Expected_Income[[#This Row],[Pension Contributions]]-_Template\Expected_Income[[#This Row],[Healthcare Deductions]]-_Template\Expected_Income[[#This Row],[Other Payroll Deductions]]-_Template\Expected_Income[[#This Row],[Taxes]], 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83CB610-8740-47A4-9538-0B0DBE5CE763}" name="2023-12\Budgets" displayName="_2023_12\Budgets" ref="I5:P24" totalsRowShown="0" headerRowDxfId="53" dataDxfId="52">
  <autoFilter ref="I5:P24" xr:uid="{6993C61E-5182-4571-996F-3C4DB6F2B5F2}"/>
  <tableColumns count="8">
    <tableColumn id="1" xr3:uid="{B22287E0-8589-4470-A2F2-D543CAAA4D77}" name="Name" dataDxfId="51"/>
    <tableColumn id="2" xr3:uid="{5998E929-4982-4936-AA15-9157796C4D46}" name="Type" dataDxfId="50"/>
    <tableColumn id="3" xr3:uid="{1AA9BDFB-4BD0-4E55-B332-5484B22BFF9E}" name="Amount" dataDxfId="49"/>
    <tableColumn id="4" xr3:uid="{C58EAF8C-780C-419F-9A70-A2F807A7FC15}" name="Rollover From Last Month" dataDxfId="48">
      <calculatedColumnFormula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calculatedColumnFormula>
    </tableColumn>
    <tableColumn id="6" xr3:uid="{8F38DF0D-1024-4EDF-A9EA-F69A146BCA62}" name="Override Rollover Amount" dataDxfId="47"/>
    <tableColumn id="7" xr3:uid="{B946E5C2-9914-4AC8-AC66-EF2EDB171761}" name="Total Debits" dataDxfId="46">
      <calculatedColumnFormula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calculatedColumnFormula>
    </tableColumn>
    <tableColumn id="9" xr3:uid="{2483216B-BFD2-4A82-835B-E7754DD1D575}" name="Total Credits" dataDxfId="45">
      <calculatedColumnFormula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calculatedColumnFormula>
    </tableColumn>
    <tableColumn id="5" xr3:uid="{0708C587-2F49-4A47-98BD-3F36F5881480}" name="Remaining Budget" dataDxfId="44">
      <calculatedColumnFormula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0804902-1851-498B-9B9B-E103C06912E8}" name="2023-12\Transactions" displayName="_2023_12\Transactions" ref="B19:G120" totalsRowShown="0" headerRowDxfId="43" dataDxfId="42">
  <autoFilter ref="B19:G120" xr:uid="{EC46B62F-7A14-4839-B25C-76E755827075}"/>
  <sortState xmlns:xlrd2="http://schemas.microsoft.com/office/spreadsheetml/2017/richdata2" ref="B20:G120">
    <sortCondition ref="B19:B120"/>
  </sortState>
  <tableColumns count="6">
    <tableColumn id="1" xr3:uid="{D7CA6E7D-08F4-4480-9705-2F8840902B66}" name="Date" dataDxfId="41"/>
    <tableColumn id="2" xr3:uid="{654CC286-CA00-4409-87C3-C3EAD8964E2C}" name="Location" dataDxfId="40"/>
    <tableColumn id="3" xr3:uid="{6A8259F4-4BA4-4973-964B-AFAF78F7A393}" name="Description" dataDxfId="39"/>
    <tableColumn id="4" xr3:uid="{8A32F7A3-D9C5-4A1D-A316-78995866D22D}" name="Category" dataDxfId="38"/>
    <tableColumn id="6" xr3:uid="{BDD845E4-F74E-448B-A867-719B33F2AC00}" name="Type" dataDxfId="37"/>
    <tableColumn id="5" xr3:uid="{ADECE66A-DFF3-476F-B8E4-8E80C1C34E53}" name="Amount" dataDxfId="3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99ACF2D-3C20-4E98-A72B-7071294C5084}" name="2023-12\Balances" displayName="_2023_12\Balances" ref="I27:O43" totalsRowShown="0" headerRowDxfId="35" dataDxfId="34" tableBorderDxfId="33">
  <autoFilter ref="I27:O43" xr:uid="{9874A6B0-EF6A-4DFE-B7B5-17DAD41163E3}"/>
  <tableColumns count="7">
    <tableColumn id="1" xr3:uid="{E7AEBA82-FB2C-45A3-AE25-7FEED7C59582}" name="Name" dataDxfId="32"/>
    <tableColumn id="2" xr3:uid="{7D4495E8-CBDE-461D-9895-2680B7750DFD}" name="Category" dataDxfId="31"/>
    <tableColumn id="3" xr3:uid="{C13D94B5-F7C7-4052-ACF3-6CA80CC8C942}" name="First Monday" dataDxfId="30"/>
    <tableColumn id="4" xr3:uid="{2AFC5FCA-804D-432A-B929-821A4BE9250D}" name="Second Monday" dataDxfId="29"/>
    <tableColumn id="5" xr3:uid="{AF6870CF-195C-4BA0-9F19-1514CFEB8481}" name="Third Monday" dataDxfId="28"/>
    <tableColumn id="6" xr3:uid="{DD729ED8-107C-4EF2-9939-F70F6F7BDCB3}" name="Fourth Monday" dataDxfId="27"/>
    <tableColumn id="7" xr3:uid="{795A46D0-0A0D-46C2-8F51-2E80339FE132}" name="Fifth Monday" dataDxfId="26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E45B63C-FD18-4B87-95A5-66E3CDA206EF}" name="2023-12\Actual_Income" displayName="_2023_12\Actual_Income" ref="I63:R72" totalsRowShown="0" headerRowDxfId="25" dataDxfId="24" tableBorderDxfId="23">
  <autoFilter ref="I63:R72" xr:uid="{E5E28DBB-8C36-4879-9321-9B9564D6F520}"/>
  <tableColumns count="10">
    <tableColumn id="1" xr3:uid="{1AD9D097-DE64-4EF0-B316-B71439887D68}" name="Date" dataDxfId="22"/>
    <tableColumn id="2" xr3:uid="{422D422D-F31B-4618-87C4-324091088F76}" name="Source" dataDxfId="21"/>
    <tableColumn id="3" xr3:uid="{F578A079-083D-4C20-A2F2-786EAD3DC30F}" name="Salary Income" dataDxfId="20"/>
    <tableColumn id="9" xr3:uid="{6684EAE4-5452-4103-80AD-CEA7F3D411CB}" name="Additional Taxable Income" dataDxfId="19"/>
    <tableColumn id="4" xr3:uid="{76D6A4F5-ED73-412F-9D91-E9CDD5FB9467}" name="Retirement Contributions" dataDxfId="18"/>
    <tableColumn id="10" xr3:uid="{9A6B2088-1F77-4A00-819F-57DDD16491A0}" name="Pension Contributions" dataDxfId="17"/>
    <tableColumn id="5" xr3:uid="{BB190D5E-9EAB-47A9-8B4E-B1211C4E180B}" name="Healthcare Deductions" dataDxfId="16"/>
    <tableColumn id="6" xr3:uid="{8035AE74-1B30-4586-8084-64AE306DD1C3}" name="Other Payroll Deductions" dataDxfId="15"/>
    <tableColumn id="7" xr3:uid="{6692F02B-2F86-4E2B-B0D7-1EEA54B3A4BB}" name="Taxes" dataDxfId="14"/>
    <tableColumn id="8" xr3:uid="{92DB5E77-7FE7-405F-A032-3B2D5A5D9066}" name="Net Income" dataDxfId="13">
      <calculatedColumnFormula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C9DB4D4-AD62-4D0F-8DA8-37AE1AFF6C9E}" name="_2023_12\Expected_Income" displayName="_2023_12\Expected_Income" ref="I51:R60" totalsRowShown="0" headerRowDxfId="12" dataDxfId="11" tableBorderDxfId="10">
  <autoFilter ref="I51:R60" xr:uid="{EC9DB4D4-AD62-4D0F-8DA8-37AE1AFF6C9E}"/>
  <tableColumns count="10">
    <tableColumn id="1" xr3:uid="{B94F6402-A22D-436E-A5A3-7EC155851D8E}" name="Date" dataDxfId="9"/>
    <tableColumn id="2" xr3:uid="{59BF377A-F61D-4ECB-BFF9-70C8EFBF6B2B}" name="Source" dataDxfId="8"/>
    <tableColumn id="3" xr3:uid="{E22273B4-8C43-4A53-B925-1152B736C998}" name="Salary Income" dataDxfId="7">
      <calculatedColumnFormula>IF(_2023_12\Expected_Income[[#This Row],[Source]]="Advantage",$J$47,IF(_2023_12\Expected_Income[[#This Row],[Source]]="Saline", $J$48, " "))</calculatedColumnFormula>
    </tableColumn>
    <tableColumn id="9" xr3:uid="{EA4EEFCD-46D9-4524-A189-5E803227B25F}" name="Additional Taxable Income" dataDxfId="6">
      <calculatedColumnFormula>IF(_2023_12\Expected_Income[[#This Row],[Source]]="Advantage",$K$47,IF(_2023_12\Expected_Income[[#This Row],[Source]]="Saline", $K$48, " "))</calculatedColumnFormula>
    </tableColumn>
    <tableColumn id="4" xr3:uid="{C044B351-5285-490B-824C-5D25285B20E0}" name="Retirement Contributions" dataDxfId="5">
      <calculatedColumnFormula>IF(_2023_12\Expected_Income[[#This Row],[Source]]="Advantage",(_2023_12\Expected_Income[[#This Row],[Salary Income]]+_2023_12\Expected_Income[[#This Row],[Additional Taxable Income]])*$L$47,IF(_2023_12\Expected_Income[[#This Row],[Source]]="Saline", (_2023_12\Expected_Income[[#This Row],[Salary Income]]+_2023_12\Expected_Income[[#This Row],[Additional Taxable Income]])*$L$48, " "))</calculatedColumnFormula>
    </tableColumn>
    <tableColumn id="10" xr3:uid="{76241CAC-FC86-4DEE-B3FF-56B2857AB378}" name="Pension Contributions" dataDxfId="4">
      <calculatedColumnFormula>IF(_2023_12\Expected_Income[[#This Row],[Source]]="Advantage",_2023_12\Expected_Income[[#This Row],[Salary Income]]*$M$47,IF(_2023_12\Expected_Income[[#This Row],[Source]]="Saline", _2023_12\Expected_Income[[#This Row],[Salary Income]]*$M$48, " "))</calculatedColumnFormula>
    </tableColumn>
    <tableColumn id="5" xr3:uid="{00A499D9-6895-4CCC-B61D-06BEB2EA58E7}" name="Healthcare Deductions" dataDxfId="3">
      <calculatedColumnFormula>IF(_2023_12\Expected_Income[[#This Row],[Source]]="Advantage",$N$47,IF(_2023_12\Expected_Income[[#This Row],[Source]]="Saline", $N$48, " "))</calculatedColumnFormula>
    </tableColumn>
    <tableColumn id="6" xr3:uid="{A183029B-D7F3-4C56-B9D7-EB91DCB63530}" name="Other Payroll Deductions" dataDxfId="2">
      <calculatedColumnFormula>IF(_2023_12\Expected_Income[[#This Row],[Source]]="Advantage",$P$47,IF(_2023_12\Expected_Income[[#This Row],[Source]]="Saline", $P$48, " "))</calculatedColumnFormula>
    </tableColumn>
    <tableColumn id="7" xr3:uid="{9719AD45-03ED-4485-837D-16DFE86539FF}" name="Taxes" dataDxfId="1">
      <calculatedColumnFormula>IF(_2023_12\Expected_Income[[#This Row],[Source]]="Advantage",$O$47,IF(_2023_12\Expected_Income[[#This Row],[Source]]="Saline", $O$48, " "))</calculatedColumnFormula>
    </tableColumn>
    <tableColumn id="8" xr3:uid="{030C235A-F7FE-4911-892A-CA6B7081499E}" name="Net Income" dataDxfId="0">
      <calculatedColumnFormula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2320-3C80-4C51-B522-EBAAC3A7C0D3}">
  <sheetPr codeName="Sheet20"/>
  <dimension ref="B2:R120"/>
  <sheetViews>
    <sheetView tabSelected="1" topLeftCell="A23" workbookViewId="0">
      <selection activeCell="F32" sqref="F32"/>
    </sheetView>
  </sheetViews>
  <sheetFormatPr defaultRowHeight="15" x14ac:dyDescent="0.25"/>
  <cols>
    <col min="2" max="2" width="36.85546875" customWidth="1"/>
    <col min="3" max="4" width="24.140625" bestFit="1" customWidth="1"/>
    <col min="5" max="5" width="23.5703125" bestFit="1" customWidth="1"/>
    <col min="6" max="6" width="24.85546875" customWidth="1"/>
    <col min="7" max="7" width="26.140625" customWidth="1"/>
    <col min="8" max="8" width="27" customWidth="1"/>
    <col min="9" max="18" width="25.7109375" customWidth="1"/>
  </cols>
  <sheetData>
    <row r="2" spans="2:16" x14ac:dyDescent="0.25">
      <c r="B2" s="1" t="s">
        <v>13</v>
      </c>
      <c r="C2" t="str" cm="1">
        <f t="array" aca="1" ref="C2" ca="1">_xlfn.TEXTAFTER(CELL("filename",A1),"]")</f>
        <v>Template</v>
      </c>
      <c r="D2" s="1" t="s">
        <v>14</v>
      </c>
      <c r="E2" t="e">
        <f ca="1">_xlfn.CONCAT(IF(RIGHT(C2,2)="01", VALUE(LEFT(C2,4))-1, LEFT(C2,4)), "-", IF(RIGHT(C2,2)="01","12",TEXT(VALUE(RIGHT(C2,2))-1,"00")))</f>
        <v>#VALUE!</v>
      </c>
    </row>
    <row r="4" spans="2:16" ht="23.25" x14ac:dyDescent="0.35">
      <c r="B4" s="2" t="s">
        <v>6</v>
      </c>
      <c r="C4" s="1" t="s">
        <v>35</v>
      </c>
      <c r="D4" s="1" t="s">
        <v>36</v>
      </c>
      <c r="E4" s="1" t="s">
        <v>37</v>
      </c>
      <c r="I4" s="2" t="s">
        <v>0</v>
      </c>
    </row>
    <row r="5" spans="2:16" x14ac:dyDescent="0.25">
      <c r="B5" s="1" t="s">
        <v>31</v>
      </c>
      <c r="C5" s="3">
        <f ca="1">SUM(INDIRECT("_" &amp; SUBSTITUTE($C$2,"-","_") &amp; "\Expected_Income[Salary Income]")) + SUM(INDIRECT("_" &amp; SUBSTITUTE($C$2,"-","_") &amp; "\Expected_Income[Additional Taxable Income]"))</f>
        <v>0</v>
      </c>
      <c r="D5" s="3" t="e">
        <f ca="1">SUM(INDIRECT("_" &amp; SUBSTITUTE($C$2,"-","_") &amp; "\Actual_Income[Salary Income]")) + SUM(INDIRECT("_" &amp; SUBSTITUTE($C$2,"-","_") &amp; "\Actual_Income[Additional Taxable Income]"))</f>
        <v>#REF!</v>
      </c>
      <c r="E5" s="14" t="e">
        <f t="shared" ref="E5:E10" ca="1" si="0">D5-C5</f>
        <v>#REF!</v>
      </c>
      <c r="I5" s="1" t="s">
        <v>5</v>
      </c>
      <c r="J5" s="1" t="s">
        <v>1</v>
      </c>
      <c r="K5" s="1" t="s">
        <v>2</v>
      </c>
      <c r="L5" s="1" t="s">
        <v>3</v>
      </c>
      <c r="M5" s="1" t="s">
        <v>7</v>
      </c>
      <c r="N5" s="1" t="s">
        <v>22</v>
      </c>
      <c r="O5" s="1" t="s">
        <v>23</v>
      </c>
      <c r="P5" s="1" t="s">
        <v>4</v>
      </c>
    </row>
    <row r="6" spans="2:16" x14ac:dyDescent="0.25">
      <c r="B6" s="1" t="s">
        <v>32</v>
      </c>
      <c r="C6" s="3">
        <f ca="1">SUM(INDIRECT("_" &amp; SUBSTITUTE($C$2,"-","_") &amp; "\Expected_Income[Retirement Contributions]"))</f>
        <v>0</v>
      </c>
      <c r="D6" s="3" t="e">
        <f ca="1">SUM(INDIRECT("_" &amp; SUBSTITUTE($C$2,"-","_") &amp; "\Actual_Income[Retirement Contributions]"))</f>
        <v>#REF!</v>
      </c>
      <c r="E6" s="14" t="e">
        <f t="shared" ca="1" si="0"/>
        <v>#REF!</v>
      </c>
      <c r="I6" s="4"/>
      <c r="J6" s="4"/>
      <c r="K6" s="5"/>
      <c r="L6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6" s="5"/>
      <c r="N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6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7" spans="2:16" x14ac:dyDescent="0.25">
      <c r="B7" s="1" t="s">
        <v>45</v>
      </c>
      <c r="C7" s="14">
        <f ca="1">SUM(INDIRECT("_" &amp; SUBSTITUTE($C$2,"-","_") &amp; "\Expected_Income[Healthcare Deductions]"))</f>
        <v>0</v>
      </c>
      <c r="D7" s="14" t="e">
        <f ca="1">SUM(INDIRECT("_" &amp; SUBSTITUTE($C$2,"-","_") &amp; "\Actual_Income[Healthcare Deductions]"))</f>
        <v>#REF!</v>
      </c>
      <c r="E7" s="14" t="e">
        <f t="shared" ca="1" si="0"/>
        <v>#REF!</v>
      </c>
      <c r="I7" s="4"/>
      <c r="J7" s="4"/>
      <c r="K7" s="5"/>
      <c r="L7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7" s="5"/>
      <c r="N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7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8" spans="2:16" x14ac:dyDescent="0.25">
      <c r="B8" s="1" t="s">
        <v>44</v>
      </c>
      <c r="C8" s="14">
        <f ca="1">SUM(INDIRECT("_" &amp; SUBSTITUTE($C$2,"-","_") &amp; "\Expected_Income[Other Payroll Deductions]"))</f>
        <v>0</v>
      </c>
      <c r="D8" s="14" t="e">
        <f ca="1">SUM(INDIRECT("_" &amp; SUBSTITUTE($C$2,"-","_") &amp; "\Actual_Income[Other Payroll Deductions]"))</f>
        <v>#REF!</v>
      </c>
      <c r="E8" s="14" t="e">
        <f t="shared" ca="1" si="0"/>
        <v>#REF!</v>
      </c>
      <c r="I8" s="4"/>
      <c r="J8" s="4"/>
      <c r="K8" s="5"/>
      <c r="L8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8" s="5"/>
      <c r="N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8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9" spans="2:16" x14ac:dyDescent="0.25">
      <c r="B9" s="1" t="s">
        <v>33</v>
      </c>
      <c r="C9" s="14">
        <f ca="1">SUM(INDIRECT("_" &amp; SUBSTITUTE($C$2,"-","_") &amp; "\Expected_Income[Taxes]"))</f>
        <v>0</v>
      </c>
      <c r="D9" s="3" t="e">
        <f ca="1">SUM(INDIRECT("_" &amp; SUBSTITUTE($C$2,"-","_") &amp; "\Actual_Income[Taxes]"))</f>
        <v>#REF!</v>
      </c>
      <c r="E9" s="14" t="e">
        <f t="shared" ca="1" si="0"/>
        <v>#REF!</v>
      </c>
      <c r="I9" s="4"/>
      <c r="J9" s="4"/>
      <c r="K9" s="5"/>
      <c r="L9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9" s="5"/>
      <c r="N9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9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9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0" spans="2:16" x14ac:dyDescent="0.25">
      <c r="B10" s="1" t="s">
        <v>34</v>
      </c>
      <c r="C10" s="14">
        <f ca="1">SUM(INDIRECT("_" &amp; SUBSTITUTE($C$2,"-","_") &amp; "\Expected_Income[Net Income]"))</f>
        <v>0</v>
      </c>
      <c r="D10" s="3" t="e">
        <f ca="1">SUM(INDIRECT("_" &amp; SUBSTITUTE($C$2,"-","_") &amp; "\Actual_Income[Net Income]"))</f>
        <v>#REF!</v>
      </c>
      <c r="E10" s="14" t="e">
        <f t="shared" ca="1" si="0"/>
        <v>#REF!</v>
      </c>
      <c r="I10" s="4"/>
      <c r="J10" s="4"/>
      <c r="K10" s="5"/>
      <c r="L10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0" s="5"/>
      <c r="N1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0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1" spans="2:16" x14ac:dyDescent="0.25">
      <c r="I11" s="4"/>
      <c r="J11" s="4"/>
      <c r="K11" s="5"/>
      <c r="L11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1" s="5"/>
      <c r="N11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1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1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2" spans="2:16" x14ac:dyDescent="0.25">
      <c r="C12" s="1" t="s">
        <v>43</v>
      </c>
      <c r="D12" s="1" t="s">
        <v>36</v>
      </c>
      <c r="E12" s="1" t="s">
        <v>37</v>
      </c>
      <c r="I12" s="4"/>
      <c r="J12" s="4"/>
      <c r="K12" s="5"/>
      <c r="L12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2" s="5"/>
      <c r="N1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2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3" spans="2:16" x14ac:dyDescent="0.25">
      <c r="B13" s="1" t="s">
        <v>41</v>
      </c>
      <c r="C13" s="14" t="e">
        <f ca="1">SUMIF(INDIRECT("_" &amp; SUBSTITUTE($C$2,"-","_") &amp; "\Budgets[Type]"), "&lt;&gt;Saving", INDIRECT("_" &amp; SUBSTITUTE($C$2,"-","_") &amp; "\Budgets[Amount]"))</f>
        <v>#REF!</v>
      </c>
      <c r="D13" s="14" t="e">
        <f ca="1">SUMIF(INDIRECT("_" &amp; SUBSTITUTE($C$2,"-","_") &amp; "\Budgets[Type]"), "&lt;&gt;Saving", INDIRECT("_" &amp; SUBSTITUTE($C$2,"-","_") &amp; "\Budgets[Total Debits]"))</f>
        <v>#REF!</v>
      </c>
      <c r="E13" s="14" t="e">
        <f ca="1">D13-C13</f>
        <v>#REF!</v>
      </c>
      <c r="I13" s="4"/>
      <c r="J13" s="4"/>
      <c r="K13" s="5"/>
      <c r="L13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3" s="5"/>
      <c r="N13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3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3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4" spans="2:16" x14ac:dyDescent="0.25">
      <c r="B14" s="1" t="s">
        <v>42</v>
      </c>
      <c r="C14" s="14" t="e">
        <f ca="1">SUMIF(INDIRECT("_" &amp; SUBSTITUTE($C$2,"-","_") &amp; "\Budgets[Type]"), "=Saving", INDIRECT("_" &amp; SUBSTITUTE($C$2,"-","_") &amp; "\Budgets[Amount]"))</f>
        <v>#REF!</v>
      </c>
      <c r="D14" s="14" t="e">
        <f ca="1">SUMIF(INDIRECT("_" &amp; SUBSTITUTE($C$2,"-","_") &amp; "\Budgets[Type]"), "=Saving", INDIRECT("_" &amp; SUBSTITUTE($C$2,"-","_") &amp; "\Budgets[Total Credits]")) - SUMIF(INDIRECT("_" &amp; SUBSTITUTE($C$2,"-","_") &amp; "\Budgets[Type]"), "=Saving", INDIRECT("_" &amp; SUBSTITUTE($C$2,"-","_") &amp; "\Budgets[Total Debits]"))</f>
        <v>#REF!</v>
      </c>
      <c r="E14" s="14" t="e">
        <f ca="1">D14-C14</f>
        <v>#REF!</v>
      </c>
      <c r="I14" s="4"/>
      <c r="J14" s="4"/>
      <c r="K14" s="5"/>
      <c r="L14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4" s="5"/>
      <c r="N14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4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4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5" spans="2:16" x14ac:dyDescent="0.25">
      <c r="B15" s="1" t="s">
        <v>47</v>
      </c>
      <c r="C15" s="14" t="e">
        <f ca="1">C13+C14</f>
        <v>#REF!</v>
      </c>
      <c r="D15" s="14"/>
      <c r="E15" s="14"/>
      <c r="I15" s="4"/>
      <c r="J15" s="4"/>
      <c r="K15" s="5"/>
      <c r="L15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5" s="5"/>
      <c r="N15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5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5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6" spans="2:16" x14ac:dyDescent="0.25">
      <c r="B16" s="1" t="s">
        <v>46</v>
      </c>
      <c r="C16" s="14" t="e">
        <f ca="1">C10-C13-C14</f>
        <v>#REF!</v>
      </c>
      <c r="D16" s="14"/>
      <c r="E16" s="14"/>
      <c r="I16" s="4"/>
      <c r="J16" s="4"/>
      <c r="K16" s="5"/>
      <c r="L16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6" s="5"/>
      <c r="N1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6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7" spans="2:16" x14ac:dyDescent="0.25">
      <c r="I17" s="4"/>
      <c r="J17" s="4"/>
      <c r="K17" s="5"/>
      <c r="L17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7" s="5"/>
      <c r="N1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7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8" spans="2:16" ht="23.25" x14ac:dyDescent="0.35">
      <c r="B18" s="2" t="s">
        <v>8</v>
      </c>
      <c r="I18" s="4"/>
      <c r="J18" s="4"/>
      <c r="K18" s="5"/>
      <c r="L18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8" s="5"/>
      <c r="N1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8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19" spans="2:16" x14ac:dyDescent="0.25">
      <c r="B19" s="1" t="s">
        <v>9</v>
      </c>
      <c r="C19" s="1" t="s">
        <v>10</v>
      </c>
      <c r="D19" s="1" t="s">
        <v>11</v>
      </c>
      <c r="E19" s="1" t="s">
        <v>12</v>
      </c>
      <c r="F19" s="1" t="s">
        <v>1</v>
      </c>
      <c r="G19" s="1" t="s">
        <v>2</v>
      </c>
      <c r="I19" s="4"/>
      <c r="J19" s="4"/>
      <c r="K19" s="5"/>
      <c r="L19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9" s="5"/>
      <c r="N19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9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9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0" spans="2:16" x14ac:dyDescent="0.25">
      <c r="B20" s="6"/>
      <c r="C20" s="4"/>
      <c r="D20" s="4"/>
      <c r="E20" s="4"/>
      <c r="F20" s="4"/>
      <c r="G20" s="10"/>
      <c r="I20" s="4"/>
      <c r="J20" s="4"/>
      <c r="K20" s="5"/>
      <c r="L20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0" s="5"/>
      <c r="N2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0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1" spans="2:16" x14ac:dyDescent="0.25">
      <c r="B21" s="6"/>
      <c r="C21" s="4"/>
      <c r="D21" s="4"/>
      <c r="E21" s="4"/>
      <c r="F21" s="4"/>
      <c r="G21" s="10"/>
      <c r="I21" s="7"/>
      <c r="J21" s="7"/>
      <c r="K21" s="9"/>
      <c r="L21" s="19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1" s="9"/>
      <c r="N21" s="13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1" s="13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1" s="13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2" spans="2:16" x14ac:dyDescent="0.25">
      <c r="B22" s="6"/>
      <c r="C22" s="4"/>
      <c r="D22" s="4"/>
      <c r="E22" s="4"/>
      <c r="F22" s="4"/>
      <c r="G22" s="10"/>
      <c r="I22" s="4"/>
      <c r="J22" s="4"/>
      <c r="K22" s="5"/>
      <c r="L22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2" s="5"/>
      <c r="N2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2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3" spans="2:16" x14ac:dyDescent="0.25">
      <c r="B23" s="6"/>
      <c r="C23" s="4"/>
      <c r="D23" s="4"/>
      <c r="E23" s="4"/>
      <c r="F23" s="4"/>
      <c r="G23" s="10"/>
      <c r="I23" s="4"/>
      <c r="J23" s="4"/>
      <c r="K23" s="5"/>
      <c r="L23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3" s="5"/>
      <c r="N23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3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3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4" spans="2:16" x14ac:dyDescent="0.25">
      <c r="B24" s="6"/>
      <c r="C24" s="4"/>
      <c r="D24" s="4"/>
      <c r="E24" s="4"/>
      <c r="F24" s="4"/>
      <c r="G24" s="10"/>
      <c r="I24" s="4"/>
      <c r="J24" s="4"/>
      <c r="K24" s="5"/>
      <c r="L24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4" s="5"/>
      <c r="N24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4" s="13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4" s="11" t="e">
        <f ca="1">IF(_2023_08__2_\Budgets_[[#This Row],[Type]]&lt;&gt;"Saving", 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Credits]], _2023_08__2_\Budgets_[[#This Row],[Amount]]+IF(NOT(_2023_08__2_\Budgets_[[#This Row],[Rollover From Last Month]]=""),_2023_08__2_\Budgets_[[#This Row],[Rollover From Last Month]],0)+_2023_08__2_\Budgets_[[#This Row],[Total Debits]]-_2023_08__2_\Budgets_[[#This Row],[Total Credits]])</f>
        <v>#REF!</v>
      </c>
    </row>
    <row r="25" spans="2:16" x14ac:dyDescent="0.25">
      <c r="B25" s="6"/>
      <c r="C25" s="4"/>
      <c r="D25" s="4"/>
      <c r="E25" s="4"/>
      <c r="F25" s="4"/>
      <c r="G25" s="10"/>
    </row>
    <row r="26" spans="2:16" ht="23.25" x14ac:dyDescent="0.35">
      <c r="B26" s="6"/>
      <c r="C26" s="4"/>
      <c r="D26" s="4"/>
      <c r="E26" s="4"/>
      <c r="F26" s="4"/>
      <c r="G26" s="10"/>
      <c r="I26" s="2" t="s">
        <v>20</v>
      </c>
    </row>
    <row r="27" spans="2:16" x14ac:dyDescent="0.25">
      <c r="B27" s="6"/>
      <c r="C27" s="4"/>
      <c r="D27" s="4"/>
      <c r="E27" s="4"/>
      <c r="F27" s="4"/>
      <c r="G27" s="10"/>
      <c r="I27" s="1" t="s">
        <v>5</v>
      </c>
      <c r="J27" s="1" t="s">
        <v>12</v>
      </c>
      <c r="K27" s="1" t="s">
        <v>15</v>
      </c>
      <c r="L27" s="1" t="s">
        <v>16</v>
      </c>
      <c r="M27" s="1" t="s">
        <v>17</v>
      </c>
      <c r="N27" s="1" t="s">
        <v>18</v>
      </c>
      <c r="O27" s="1" t="s">
        <v>19</v>
      </c>
    </row>
    <row r="28" spans="2:16" x14ac:dyDescent="0.25">
      <c r="B28" s="6"/>
      <c r="C28" s="4"/>
      <c r="D28" s="4"/>
      <c r="E28" s="4"/>
      <c r="F28" s="4"/>
      <c r="G28" s="10"/>
      <c r="I28" s="4"/>
      <c r="J28" s="4"/>
      <c r="K28" s="5"/>
      <c r="L28" s="5"/>
      <c r="M28" s="5"/>
      <c r="N28" s="5"/>
      <c r="O28" s="5"/>
    </row>
    <row r="29" spans="2:16" x14ac:dyDescent="0.25">
      <c r="B29" s="6"/>
      <c r="C29" s="4"/>
      <c r="D29" s="4"/>
      <c r="E29" s="4"/>
      <c r="F29" s="4"/>
      <c r="G29" s="10"/>
      <c r="I29" s="4"/>
      <c r="J29" s="4"/>
      <c r="K29" s="5"/>
      <c r="L29" s="5"/>
      <c r="M29" s="5"/>
      <c r="N29" s="5"/>
      <c r="O29" s="5"/>
    </row>
    <row r="30" spans="2:16" x14ac:dyDescent="0.25">
      <c r="B30" s="6"/>
      <c r="C30" s="4"/>
      <c r="D30" s="4"/>
      <c r="E30" s="4"/>
      <c r="F30" s="4"/>
      <c r="G30" s="10"/>
      <c r="I30" s="4"/>
      <c r="J30" s="4"/>
      <c r="K30" s="5"/>
      <c r="L30" s="5"/>
      <c r="M30" s="5"/>
      <c r="N30" s="5"/>
      <c r="O30" s="5"/>
    </row>
    <row r="31" spans="2:16" x14ac:dyDescent="0.25">
      <c r="B31" s="6"/>
      <c r="C31" s="4"/>
      <c r="D31" s="4"/>
      <c r="E31" s="4"/>
      <c r="F31" s="4"/>
      <c r="G31" s="10"/>
      <c r="I31" s="4"/>
      <c r="J31" s="4"/>
      <c r="K31" s="5"/>
      <c r="L31" s="5"/>
      <c r="M31" s="5"/>
      <c r="N31" s="5"/>
      <c r="O31" s="5"/>
    </row>
    <row r="32" spans="2:16" x14ac:dyDescent="0.25">
      <c r="B32" s="6"/>
      <c r="C32" s="4"/>
      <c r="D32" s="4"/>
      <c r="E32" s="4"/>
      <c r="F32" s="4"/>
      <c r="G32" s="10"/>
      <c r="I32" s="4"/>
      <c r="J32" s="4"/>
      <c r="K32" s="5"/>
      <c r="L32" s="5"/>
      <c r="M32" s="5"/>
      <c r="N32" s="5"/>
      <c r="O32" s="5"/>
    </row>
    <row r="33" spans="2:16" x14ac:dyDescent="0.25">
      <c r="B33" s="6"/>
      <c r="C33" s="4"/>
      <c r="D33" s="4"/>
      <c r="E33" s="4"/>
      <c r="F33" s="4"/>
      <c r="G33" s="10"/>
      <c r="I33" s="4"/>
      <c r="J33" s="4"/>
      <c r="K33" s="5"/>
      <c r="L33" s="5"/>
      <c r="M33" s="5"/>
      <c r="N33" s="5"/>
      <c r="O33" s="5"/>
    </row>
    <row r="34" spans="2:16" x14ac:dyDescent="0.25">
      <c r="B34" s="6"/>
      <c r="C34" s="4"/>
      <c r="D34" s="4"/>
      <c r="E34" s="4"/>
      <c r="F34" s="4"/>
      <c r="G34" s="10"/>
      <c r="I34" s="4"/>
      <c r="J34" s="4"/>
      <c r="K34" s="5"/>
      <c r="L34" s="5"/>
      <c r="M34" s="5"/>
      <c r="N34" s="5"/>
      <c r="O34" s="5"/>
    </row>
    <row r="35" spans="2:16" x14ac:dyDescent="0.25">
      <c r="B35" s="6"/>
      <c r="C35" s="4"/>
      <c r="D35" s="4"/>
      <c r="E35" s="4"/>
      <c r="F35" s="4"/>
      <c r="G35" s="10"/>
      <c r="I35" s="4"/>
      <c r="J35" s="4"/>
      <c r="K35" s="5"/>
      <c r="L35" s="5"/>
      <c r="M35" s="5"/>
      <c r="N35" s="5"/>
      <c r="O35" s="5"/>
    </row>
    <row r="36" spans="2:16" x14ac:dyDescent="0.25">
      <c r="B36" s="6"/>
      <c r="C36" s="4"/>
      <c r="D36" s="4"/>
      <c r="E36" s="4"/>
      <c r="F36" s="4"/>
      <c r="G36" s="10"/>
      <c r="I36" s="7"/>
      <c r="J36" s="7"/>
      <c r="K36" s="9"/>
      <c r="L36" s="9"/>
      <c r="M36" s="9"/>
      <c r="N36" s="9"/>
      <c r="O36" s="9"/>
    </row>
    <row r="37" spans="2:16" x14ac:dyDescent="0.25">
      <c r="B37" s="6"/>
      <c r="C37" s="4"/>
      <c r="D37" s="4"/>
      <c r="E37" s="4"/>
      <c r="F37" s="4"/>
      <c r="G37" s="10"/>
      <c r="I37" s="7"/>
      <c r="J37" s="7"/>
      <c r="K37" s="9"/>
      <c r="L37" s="9"/>
      <c r="M37" s="9"/>
      <c r="N37" s="9"/>
      <c r="O37" s="9"/>
    </row>
    <row r="38" spans="2:16" x14ac:dyDescent="0.25">
      <c r="B38" s="6"/>
      <c r="C38" s="4"/>
      <c r="D38" s="4"/>
      <c r="E38" s="4"/>
      <c r="F38" s="4"/>
      <c r="G38" s="10"/>
      <c r="I38" s="7"/>
      <c r="J38" s="7"/>
      <c r="K38" s="9"/>
      <c r="L38" s="9"/>
      <c r="M38" s="9"/>
      <c r="N38" s="9"/>
      <c r="O38" s="9"/>
    </row>
    <row r="39" spans="2:16" x14ac:dyDescent="0.25">
      <c r="B39" s="6"/>
      <c r="C39" s="4"/>
      <c r="D39" s="4"/>
      <c r="E39" s="4"/>
      <c r="F39" s="4"/>
      <c r="G39" s="10"/>
      <c r="I39" s="7"/>
      <c r="J39" s="7"/>
      <c r="K39" s="9"/>
      <c r="L39" s="9"/>
      <c r="M39" s="9"/>
      <c r="N39" s="9"/>
      <c r="O39" s="9"/>
    </row>
    <row r="40" spans="2:16" x14ac:dyDescent="0.25">
      <c r="B40" s="6"/>
      <c r="C40" s="4"/>
      <c r="D40" s="4"/>
      <c r="E40" s="4"/>
      <c r="F40" s="4"/>
      <c r="G40" s="10"/>
      <c r="I40" s="7"/>
      <c r="J40" s="7"/>
      <c r="K40" s="9"/>
      <c r="L40" s="9"/>
      <c r="M40" s="9"/>
      <c r="N40" s="9"/>
      <c r="O40" s="9"/>
    </row>
    <row r="41" spans="2:16" x14ac:dyDescent="0.25">
      <c r="B41" s="6"/>
      <c r="C41" s="4"/>
      <c r="D41" s="4"/>
      <c r="E41" s="4"/>
      <c r="F41" s="4"/>
      <c r="G41" s="10"/>
      <c r="I41" s="4"/>
      <c r="J41" s="4"/>
      <c r="K41" s="5"/>
      <c r="L41" s="5"/>
      <c r="M41" s="5"/>
      <c r="N41" s="5"/>
      <c r="O41" s="5"/>
    </row>
    <row r="42" spans="2:16" x14ac:dyDescent="0.25">
      <c r="B42" s="6"/>
      <c r="C42" s="4"/>
      <c r="D42" s="4"/>
      <c r="E42" s="4"/>
      <c r="F42" s="4"/>
      <c r="G42" s="10"/>
      <c r="I42" s="4"/>
      <c r="J42" s="4"/>
      <c r="K42" s="9"/>
      <c r="L42" s="5"/>
      <c r="M42" s="5"/>
      <c r="N42" s="5"/>
      <c r="O42" s="5"/>
    </row>
    <row r="43" spans="2:16" x14ac:dyDescent="0.25">
      <c r="B43" s="6"/>
      <c r="C43" s="4"/>
      <c r="D43" s="4"/>
      <c r="E43" s="4"/>
      <c r="F43" s="4"/>
      <c r="G43" s="10"/>
      <c r="I43" s="4"/>
      <c r="J43" s="4"/>
      <c r="K43" s="9"/>
      <c r="L43" s="5"/>
      <c r="M43" s="5"/>
      <c r="N43" s="5"/>
      <c r="O43" s="5"/>
    </row>
    <row r="44" spans="2:16" x14ac:dyDescent="0.25">
      <c r="B44" s="6"/>
      <c r="C44" s="4"/>
      <c r="D44" s="4"/>
      <c r="E44" s="4"/>
      <c r="F44" s="4"/>
      <c r="G44" s="10"/>
    </row>
    <row r="45" spans="2:16" ht="23.25" x14ac:dyDescent="0.35">
      <c r="B45" s="6"/>
      <c r="C45" s="4"/>
      <c r="D45" s="4"/>
      <c r="E45" s="4"/>
      <c r="F45" s="4"/>
      <c r="G45" s="10"/>
      <c r="I45" s="2" t="s">
        <v>40</v>
      </c>
    </row>
    <row r="46" spans="2:16" x14ac:dyDescent="0.25">
      <c r="B46" s="6"/>
      <c r="C46" s="4"/>
      <c r="D46" s="4"/>
      <c r="E46" s="4"/>
      <c r="F46" s="4"/>
      <c r="G46" s="10"/>
      <c r="J46" s="1" t="s">
        <v>48</v>
      </c>
      <c r="K46" s="1" t="s">
        <v>49</v>
      </c>
      <c r="L46" s="1" t="s">
        <v>24</v>
      </c>
      <c r="M46" s="1" t="s">
        <v>50</v>
      </c>
      <c r="N46" s="1" t="s">
        <v>27</v>
      </c>
      <c r="O46" s="1" t="s">
        <v>51</v>
      </c>
      <c r="P46" s="1" t="s">
        <v>25</v>
      </c>
    </row>
    <row r="47" spans="2:16" x14ac:dyDescent="0.25">
      <c r="B47" s="6"/>
      <c r="C47" s="4"/>
      <c r="D47" s="4"/>
      <c r="E47" s="4"/>
      <c r="F47" s="4"/>
      <c r="G47" s="10"/>
      <c r="I47" s="1" t="s">
        <v>38</v>
      </c>
      <c r="J47" s="10"/>
      <c r="K47" s="10"/>
      <c r="L47" s="21"/>
      <c r="M47" s="21"/>
      <c r="N47" s="10"/>
      <c r="O47" s="10"/>
      <c r="P47" s="10"/>
    </row>
    <row r="48" spans="2:16" x14ac:dyDescent="0.25">
      <c r="B48" s="6"/>
      <c r="C48" s="4"/>
      <c r="D48" s="4"/>
      <c r="E48" s="4"/>
      <c r="F48" s="4"/>
      <c r="G48" s="10"/>
      <c r="I48" s="1" t="s">
        <v>39</v>
      </c>
      <c r="J48" s="10"/>
      <c r="K48" s="10"/>
      <c r="L48" s="21"/>
      <c r="M48" s="22"/>
      <c r="N48" s="10"/>
      <c r="O48" s="10"/>
      <c r="P48" s="10"/>
    </row>
    <row r="49" spans="2:18" x14ac:dyDescent="0.25">
      <c r="B49" s="6"/>
      <c r="C49" s="4"/>
      <c r="D49" s="4"/>
      <c r="E49" s="4"/>
      <c r="F49" s="4"/>
      <c r="G49" s="10"/>
      <c r="I49" s="1"/>
    </row>
    <row r="50" spans="2:18" ht="23.25" x14ac:dyDescent="0.35">
      <c r="B50" s="6"/>
      <c r="C50" s="4"/>
      <c r="D50" s="4"/>
      <c r="E50" s="4"/>
      <c r="F50" s="4"/>
      <c r="G50" s="10"/>
      <c r="I50" s="2" t="s">
        <v>29</v>
      </c>
    </row>
    <row r="51" spans="2:18" x14ac:dyDescent="0.25">
      <c r="B51" s="6"/>
      <c r="C51" s="4"/>
      <c r="D51" s="4"/>
      <c r="E51" s="4"/>
      <c r="F51" s="4"/>
      <c r="G51" s="10"/>
      <c r="I51" s="1" t="s">
        <v>9</v>
      </c>
      <c r="J51" s="1" t="s">
        <v>21</v>
      </c>
      <c r="K51" s="1" t="s">
        <v>48</v>
      </c>
      <c r="L51" s="1" t="s">
        <v>49</v>
      </c>
      <c r="M51" s="1" t="s">
        <v>24</v>
      </c>
      <c r="N51" s="1" t="s">
        <v>50</v>
      </c>
      <c r="O51" s="1" t="s">
        <v>27</v>
      </c>
      <c r="P51" s="1" t="s">
        <v>25</v>
      </c>
      <c r="Q51" s="1" t="s">
        <v>28</v>
      </c>
      <c r="R51" s="1" t="s">
        <v>26</v>
      </c>
    </row>
    <row r="52" spans="2:18" x14ac:dyDescent="0.25">
      <c r="B52" s="6"/>
      <c r="C52" s="4"/>
      <c r="D52" s="4"/>
      <c r="E52" s="4"/>
      <c r="F52" s="4"/>
      <c r="G52" s="10"/>
      <c r="I52" s="6"/>
      <c r="J52" s="4"/>
      <c r="K52" s="15" t="str">
        <f>IF(_Template\Expected_Income[[#This Row],[Source]]="Advantage",$J$47,IF(_Template\Expected_Income[[#This Row],[Source]]="Saline", $J$48, " "))</f>
        <v xml:space="preserve"> </v>
      </c>
      <c r="L52" s="15" t="str">
        <f>IF(_Template\Expected_Income[[#This Row],[Source]]="Advantage",$K$47,IF(_Template\Expected_Income[[#This Row],[Source]]="Saline", $K$48, " "))</f>
        <v xml:space="preserve"> </v>
      </c>
      <c r="M52" s="15" t="str">
        <f>IF(_Template\Expected_Income[[#This Row],[Source]]="Advantage",(_Template\Expected_Income[[#This Row],[Salary Income]]+_Template\Expected_Income[[#This Row],[Additional Taxable Income]])*$L$47,IF(_Template\Expected_Income[[#This Row],[Source]]="Saline", (_Template\Expected_Income[[#This Row],[Salary Income]]+_Template\Expected_Income[[#This Row],[Additional Taxable Income]])*$L$48, " "))</f>
        <v xml:space="preserve"> </v>
      </c>
      <c r="N52" s="15" t="str">
        <f>IF(_Template\Expected_Income[[#This Row],[Source]]="Advantage",_Template\Expected_Income[[#This Row],[Salary Income]]*$M$47,IF(_Template\Expected_Income[[#This Row],[Source]]="Saline", _Template\Expected_Income[[#This Row],[Salary Income]]*$M$48, " "))</f>
        <v xml:space="preserve"> </v>
      </c>
      <c r="O52" s="16" t="str">
        <f>IF(_Template\Expected_Income[[#This Row],[Source]]="Advantage",$N$47,IF(_Template\Expected_Income[[#This Row],[Source]]="Saline", $N$48, " "))</f>
        <v xml:space="preserve"> </v>
      </c>
      <c r="P52" s="15" t="str">
        <f>IF(_Template\Expected_Income[[#This Row],[Source]]="Advantage",$P$47,IF(_Template\Expected_Income[[#This Row],[Source]]="Saline", $P$48, " "))</f>
        <v xml:space="preserve"> </v>
      </c>
      <c r="Q52" s="15" t="str">
        <f>IF(_Template\Expected_Income[[#This Row],[Source]]="Advantage",$O$47,IF(_Template\Expected_Income[[#This Row],[Source]]="Saline", $O$48, " "))</f>
        <v xml:space="preserve"> </v>
      </c>
      <c r="R52" s="15" t="str">
        <f>IF(_Template\Expected_Income[[#This Row],[Source]]&lt;&gt;"", _Template\Expected_Income[[#This Row],[Salary Income]]+_Template\Expected_Income[[#This Row],[Additional Taxable Income]]-_Template\Expected_Income[[#This Row],[Retirement Contributions]]-_Template\Expected_Income[[#This Row],[Pension Contributions]]-_Template\Expected_Income[[#This Row],[Healthcare Deductions]]-_Template\Expected_Income[[#This Row],[Other Payroll Deductions]]-_Template\Expected_Income[[#This Row],[Taxes]], "")</f>
        <v/>
      </c>
    </row>
    <row r="53" spans="2:18" x14ac:dyDescent="0.25">
      <c r="B53" s="6"/>
      <c r="C53" s="4"/>
      <c r="D53" s="4"/>
      <c r="E53" s="4"/>
      <c r="F53" s="4"/>
      <c r="G53" s="10"/>
      <c r="I53" s="6"/>
      <c r="J53" s="4"/>
      <c r="K53" s="15" t="str">
        <f>IF(_Template\Expected_Income[[#This Row],[Source]]="Advantage",$J$47,IF(_Template\Expected_Income[[#This Row],[Source]]="Saline", $J$48, " "))</f>
        <v xml:space="preserve"> </v>
      </c>
      <c r="L53" s="15" t="str">
        <f>IF(_Template\Expected_Income[[#This Row],[Source]]="Advantage",$K$47,IF(_Template\Expected_Income[[#This Row],[Source]]="Saline", $K$48, " "))</f>
        <v xml:space="preserve"> </v>
      </c>
      <c r="M53" s="15" t="str">
        <f>IF(_Template\Expected_Income[[#This Row],[Source]]="Advantage",(_Template\Expected_Income[[#This Row],[Salary Income]]+_Template\Expected_Income[[#This Row],[Additional Taxable Income]])*$L$47,IF(_Template\Expected_Income[[#This Row],[Source]]="Saline", (_Template\Expected_Income[[#This Row],[Salary Income]]+_Template\Expected_Income[[#This Row],[Additional Taxable Income]])*$L$48, " "))</f>
        <v xml:space="preserve"> </v>
      </c>
      <c r="N53" s="15" t="str">
        <f>IF(_Template\Expected_Income[[#This Row],[Source]]="Advantage",_Template\Expected_Income[[#This Row],[Salary Income]]*$M$47,IF(_Template\Expected_Income[[#This Row],[Source]]="Saline", _Template\Expected_Income[[#This Row],[Salary Income]]*$M$48, " "))</f>
        <v xml:space="preserve"> </v>
      </c>
      <c r="O53" s="16" t="str">
        <f>IF(_Template\Expected_Income[[#This Row],[Source]]="Advantage",$N$47,IF(_Template\Expected_Income[[#This Row],[Source]]="Saline", $N$48, " "))</f>
        <v xml:space="preserve"> </v>
      </c>
      <c r="P53" s="15" t="str">
        <f>IF(_Template\Expected_Income[[#This Row],[Source]]="Advantage",$P$47,IF(_Template\Expected_Income[[#This Row],[Source]]="Saline", $P$48, " "))</f>
        <v xml:space="preserve"> </v>
      </c>
      <c r="Q53" s="15" t="str">
        <f>IF(_Template\Expected_Income[[#This Row],[Source]]="Advantage",$O$47,IF(_Template\Expected_Income[[#This Row],[Source]]="Saline", $O$48, " "))</f>
        <v xml:space="preserve"> </v>
      </c>
      <c r="R53" s="15" t="str">
        <f>IF(_Template\Expected_Income[[#This Row],[Source]]&lt;&gt;"", _Template\Expected_Income[[#This Row],[Salary Income]]+_Template\Expected_Income[[#This Row],[Additional Taxable Income]]-_Template\Expected_Income[[#This Row],[Retirement Contributions]]-_Template\Expected_Income[[#This Row],[Pension Contributions]]-_Template\Expected_Income[[#This Row],[Healthcare Deductions]]-_Template\Expected_Income[[#This Row],[Other Payroll Deductions]]-_Template\Expected_Income[[#This Row],[Taxes]], "")</f>
        <v/>
      </c>
    </row>
    <row r="54" spans="2:18" x14ac:dyDescent="0.25">
      <c r="B54" s="6"/>
      <c r="C54" s="4"/>
      <c r="D54" s="4"/>
      <c r="E54" s="4"/>
      <c r="F54" s="4"/>
      <c r="G54" s="10"/>
      <c r="I54" s="6"/>
      <c r="J54" s="4"/>
      <c r="K54" s="15" t="str">
        <f>IF(_Template\Expected_Income[[#This Row],[Source]]="Advantage",$J$47,IF(_Template\Expected_Income[[#This Row],[Source]]="Saline", $J$48, " "))</f>
        <v xml:space="preserve"> </v>
      </c>
      <c r="L54" s="15" t="str">
        <f>IF(_Template\Expected_Income[[#This Row],[Source]]="Advantage",$K$47,IF(_Template\Expected_Income[[#This Row],[Source]]="Saline", $K$48, " "))</f>
        <v xml:space="preserve"> </v>
      </c>
      <c r="M54" s="15" t="str">
        <f>IF(_Template\Expected_Income[[#This Row],[Source]]="Advantage",(_Template\Expected_Income[[#This Row],[Salary Income]]+_Template\Expected_Income[[#This Row],[Additional Taxable Income]])*$L$47,IF(_Template\Expected_Income[[#This Row],[Source]]="Saline", (_Template\Expected_Income[[#This Row],[Salary Income]]+_Template\Expected_Income[[#This Row],[Additional Taxable Income]])*$L$48, " "))</f>
        <v xml:space="preserve"> </v>
      </c>
      <c r="N54" s="15" t="str">
        <f>IF(_Template\Expected_Income[[#This Row],[Source]]="Advantage",_Template\Expected_Income[[#This Row],[Salary Income]]*$M$47,IF(_Template\Expected_Income[[#This Row],[Source]]="Saline", _Template\Expected_Income[[#This Row],[Salary Income]]*$M$48, " "))</f>
        <v xml:space="preserve"> </v>
      </c>
      <c r="O54" s="16" t="str">
        <f>IF(_Template\Expected_Income[[#This Row],[Source]]="Advantage",$N$47,IF(_Template\Expected_Income[[#This Row],[Source]]="Saline", $N$48, " "))</f>
        <v xml:space="preserve"> </v>
      </c>
      <c r="P54" s="15" t="str">
        <f>IF(_Template\Expected_Income[[#This Row],[Source]]="Advantage",$P$47,IF(_Template\Expected_Income[[#This Row],[Source]]="Saline", $P$48, " "))</f>
        <v xml:space="preserve"> </v>
      </c>
      <c r="Q54" s="15" t="str">
        <f>IF(_Template\Expected_Income[[#This Row],[Source]]="Advantage",$O$47,IF(_Template\Expected_Income[[#This Row],[Source]]="Saline", $O$48, " "))</f>
        <v xml:space="preserve"> </v>
      </c>
      <c r="R54" s="15" t="str">
        <f>IF(_Template\Expected_Income[[#This Row],[Source]]&lt;&gt;"", _Template\Expected_Income[[#This Row],[Salary Income]]+_Template\Expected_Income[[#This Row],[Additional Taxable Income]]-_Template\Expected_Income[[#This Row],[Retirement Contributions]]-_Template\Expected_Income[[#This Row],[Pension Contributions]]-_Template\Expected_Income[[#This Row],[Healthcare Deductions]]-_Template\Expected_Income[[#This Row],[Other Payroll Deductions]]-_Template\Expected_Income[[#This Row],[Taxes]], "")</f>
        <v/>
      </c>
    </row>
    <row r="55" spans="2:18" x14ac:dyDescent="0.25">
      <c r="B55" s="6"/>
      <c r="C55" s="4"/>
      <c r="D55" s="4"/>
      <c r="E55" s="4"/>
      <c r="F55" s="4"/>
      <c r="G55" s="10"/>
      <c r="I55" s="6"/>
      <c r="J55" s="4"/>
      <c r="K55" s="15" t="str">
        <f>IF(_Template\Expected_Income[[#This Row],[Source]]="Advantage",$J$47,IF(_Template\Expected_Income[[#This Row],[Source]]="Saline", $J$48, " "))</f>
        <v xml:space="preserve"> </v>
      </c>
      <c r="L55" s="15" t="str">
        <f>IF(_Template\Expected_Income[[#This Row],[Source]]="Advantage",$K$47,IF(_Template\Expected_Income[[#This Row],[Source]]="Saline", $K$48, " "))</f>
        <v xml:space="preserve"> </v>
      </c>
      <c r="M55" s="15" t="str">
        <f>IF(_Template\Expected_Income[[#This Row],[Source]]="Advantage",(_Template\Expected_Income[[#This Row],[Salary Income]]+_Template\Expected_Income[[#This Row],[Additional Taxable Income]])*$L$47,IF(_Template\Expected_Income[[#This Row],[Source]]="Saline", (_Template\Expected_Income[[#This Row],[Salary Income]]+_Template\Expected_Income[[#This Row],[Additional Taxable Income]])*$L$48, " "))</f>
        <v xml:space="preserve"> </v>
      </c>
      <c r="N55" s="15" t="str">
        <f>IF(_Template\Expected_Income[[#This Row],[Source]]="Advantage",_Template\Expected_Income[[#This Row],[Salary Income]]*$M$47,IF(_Template\Expected_Income[[#This Row],[Source]]="Saline", _Template\Expected_Income[[#This Row],[Salary Income]]*$M$48, " "))</f>
        <v xml:space="preserve"> </v>
      </c>
      <c r="O55" s="16" t="str">
        <f>IF(_Template\Expected_Income[[#This Row],[Source]]="Advantage",$N$47,IF(_Template\Expected_Income[[#This Row],[Source]]="Saline", $N$48, " "))</f>
        <v xml:space="preserve"> </v>
      </c>
      <c r="P55" s="15" t="str">
        <f>IF(_Template\Expected_Income[[#This Row],[Source]]="Advantage",$P$47,IF(_Template\Expected_Income[[#This Row],[Source]]="Saline", $P$48, " "))</f>
        <v xml:space="preserve"> </v>
      </c>
      <c r="Q55" s="15" t="str">
        <f>IF(_Template\Expected_Income[[#This Row],[Source]]="Advantage",$O$47,IF(_Template\Expected_Income[[#This Row],[Source]]="Saline", $O$48, " "))</f>
        <v xml:space="preserve"> </v>
      </c>
      <c r="R55" s="15" t="str">
        <f>IF(_Template\Expected_Income[[#This Row],[Source]]&lt;&gt;"", _Template\Expected_Income[[#This Row],[Salary Income]]+_Template\Expected_Income[[#This Row],[Additional Taxable Income]]-_Template\Expected_Income[[#This Row],[Retirement Contributions]]-_Template\Expected_Income[[#This Row],[Pension Contributions]]-_Template\Expected_Income[[#This Row],[Healthcare Deductions]]-_Template\Expected_Income[[#This Row],[Other Payroll Deductions]]-_Template\Expected_Income[[#This Row],[Taxes]], "")</f>
        <v/>
      </c>
    </row>
    <row r="56" spans="2:18" x14ac:dyDescent="0.25">
      <c r="B56" s="6"/>
      <c r="C56" s="4"/>
      <c r="D56" s="4"/>
      <c r="E56" s="4"/>
      <c r="F56" s="4"/>
      <c r="G56" s="10"/>
      <c r="I56" s="6"/>
      <c r="J56" s="4"/>
      <c r="K56" s="15" t="str">
        <f>IF(_Template\Expected_Income[[#This Row],[Source]]="Advantage",$J$47,IF(_Template\Expected_Income[[#This Row],[Source]]="Saline", $J$48, " "))</f>
        <v xml:space="preserve"> </v>
      </c>
      <c r="L56" s="15" t="str">
        <f>IF(_Template\Expected_Income[[#This Row],[Source]]="Advantage",$K$47,IF(_Template\Expected_Income[[#This Row],[Source]]="Saline", $K$48, " "))</f>
        <v xml:space="preserve"> </v>
      </c>
      <c r="M56" s="15" t="str">
        <f>IF(_Template\Expected_Income[[#This Row],[Source]]="Advantage",(_Template\Expected_Income[[#This Row],[Salary Income]]+_Template\Expected_Income[[#This Row],[Additional Taxable Income]])*$L$47,IF(_Template\Expected_Income[[#This Row],[Source]]="Saline", (_Template\Expected_Income[[#This Row],[Salary Income]]+_Template\Expected_Income[[#This Row],[Additional Taxable Income]])*$L$48, " "))</f>
        <v xml:space="preserve"> </v>
      </c>
      <c r="N56" s="15" t="str">
        <f>IF(_Template\Expected_Income[[#This Row],[Source]]="Advantage",_Template\Expected_Income[[#This Row],[Salary Income]]*$M$47,IF(_Template\Expected_Income[[#This Row],[Source]]="Saline", _Template\Expected_Income[[#This Row],[Salary Income]]*$M$48, " "))</f>
        <v xml:space="preserve"> </v>
      </c>
      <c r="O56" s="16" t="str">
        <f>IF(_Template\Expected_Income[[#This Row],[Source]]="Advantage",$N$47,IF(_Template\Expected_Income[[#This Row],[Source]]="Saline", $N$48, " "))</f>
        <v xml:space="preserve"> </v>
      </c>
      <c r="P56" s="15" t="str">
        <f>IF(_Template\Expected_Income[[#This Row],[Source]]="Advantage",$P$47,IF(_Template\Expected_Income[[#This Row],[Source]]="Saline", $P$48, " "))</f>
        <v xml:space="preserve"> </v>
      </c>
      <c r="Q56" s="15" t="str">
        <f>IF(_Template\Expected_Income[[#This Row],[Source]]="Advantage",$O$47,IF(_Template\Expected_Income[[#This Row],[Source]]="Saline", $O$48, " "))</f>
        <v xml:space="preserve"> </v>
      </c>
      <c r="R56" s="15" t="str">
        <f>IF(_Template\Expected_Income[[#This Row],[Source]]&lt;&gt;"", _Template\Expected_Income[[#This Row],[Salary Income]]+_Template\Expected_Income[[#This Row],[Additional Taxable Income]]-_Template\Expected_Income[[#This Row],[Retirement Contributions]]-_Template\Expected_Income[[#This Row],[Pension Contributions]]-_Template\Expected_Income[[#This Row],[Healthcare Deductions]]-_Template\Expected_Income[[#This Row],[Other Payroll Deductions]]-_Template\Expected_Income[[#This Row],[Taxes]], "")</f>
        <v/>
      </c>
    </row>
    <row r="57" spans="2:18" x14ac:dyDescent="0.25">
      <c r="B57" s="6"/>
      <c r="C57" s="4"/>
      <c r="D57" s="4"/>
      <c r="E57" s="4"/>
      <c r="F57" s="4"/>
      <c r="G57" s="10"/>
      <c r="I57" s="6"/>
      <c r="J57" s="4"/>
      <c r="K57" s="15" t="str">
        <f>IF(_Template\Expected_Income[[#This Row],[Source]]="Advantage",$J$47,IF(_Template\Expected_Income[[#This Row],[Source]]="Saline", $J$48, " "))</f>
        <v xml:space="preserve"> </v>
      </c>
      <c r="L57" s="15" t="str">
        <f>IF(_Template\Expected_Income[[#This Row],[Source]]="Advantage",$K$47,IF(_Template\Expected_Income[[#This Row],[Source]]="Saline", $K$48, " "))</f>
        <v xml:space="preserve"> </v>
      </c>
      <c r="M57" s="15" t="str">
        <f>IF(_Template\Expected_Income[[#This Row],[Source]]="Advantage",(_Template\Expected_Income[[#This Row],[Salary Income]]+_Template\Expected_Income[[#This Row],[Additional Taxable Income]])*$L$47,IF(_Template\Expected_Income[[#This Row],[Source]]="Saline", (_Template\Expected_Income[[#This Row],[Salary Income]]+_Template\Expected_Income[[#This Row],[Additional Taxable Income]])*$L$48, " "))</f>
        <v xml:space="preserve"> </v>
      </c>
      <c r="N57" s="15" t="str">
        <f>IF(_Template\Expected_Income[[#This Row],[Source]]="Advantage",_Template\Expected_Income[[#This Row],[Salary Income]]*$M$47,IF(_Template\Expected_Income[[#This Row],[Source]]="Saline", _Template\Expected_Income[[#This Row],[Salary Income]]*$M$48, " "))</f>
        <v xml:space="preserve"> </v>
      </c>
      <c r="O57" s="16" t="str">
        <f>IF(_Template\Expected_Income[[#This Row],[Source]]="Advantage",$N$47,IF(_Template\Expected_Income[[#This Row],[Source]]="Saline", $N$48, " "))</f>
        <v xml:space="preserve"> </v>
      </c>
      <c r="P57" s="15" t="str">
        <f>IF(_Template\Expected_Income[[#This Row],[Source]]="Advantage",$P$47,IF(_Template\Expected_Income[[#This Row],[Source]]="Saline", $P$48, " "))</f>
        <v xml:space="preserve"> </v>
      </c>
      <c r="Q57" s="15" t="str">
        <f>IF(_Template\Expected_Income[[#This Row],[Source]]="Advantage",$O$47,IF(_Template\Expected_Income[[#This Row],[Source]]="Saline", $O$48, " "))</f>
        <v xml:space="preserve"> </v>
      </c>
      <c r="R57" s="15" t="str">
        <f>IF(_Template\Expected_Income[[#This Row],[Source]]&lt;&gt;"", _Template\Expected_Income[[#This Row],[Salary Income]]+_Template\Expected_Income[[#This Row],[Additional Taxable Income]]-_Template\Expected_Income[[#This Row],[Retirement Contributions]]-_Template\Expected_Income[[#This Row],[Pension Contributions]]-_Template\Expected_Income[[#This Row],[Healthcare Deductions]]-_Template\Expected_Income[[#This Row],[Other Payroll Deductions]]-_Template\Expected_Income[[#This Row],[Taxes]], "")</f>
        <v/>
      </c>
    </row>
    <row r="58" spans="2:18" x14ac:dyDescent="0.25">
      <c r="B58" s="6"/>
      <c r="C58" s="4"/>
      <c r="D58" s="4"/>
      <c r="E58" s="4"/>
      <c r="F58" s="4"/>
      <c r="G58" s="10"/>
      <c r="I58" s="6"/>
      <c r="J58" s="4"/>
      <c r="K58" s="15" t="str">
        <f>IF(_Template\Expected_Income[[#This Row],[Source]]="Advantage",$J$47,IF(_Template\Expected_Income[[#This Row],[Source]]="Saline", $J$48, " "))</f>
        <v xml:space="preserve"> </v>
      </c>
      <c r="L58" s="15" t="str">
        <f>IF(_Template\Expected_Income[[#This Row],[Source]]="Advantage",$K$47,IF(_Template\Expected_Income[[#This Row],[Source]]="Saline", $K$48, " "))</f>
        <v xml:space="preserve"> </v>
      </c>
      <c r="M58" s="15" t="str">
        <f>IF(_Template\Expected_Income[[#This Row],[Source]]="Advantage",(_Template\Expected_Income[[#This Row],[Salary Income]]+_Template\Expected_Income[[#This Row],[Additional Taxable Income]])*$L$47,IF(_Template\Expected_Income[[#This Row],[Source]]="Saline", (_Template\Expected_Income[[#This Row],[Salary Income]]+_Template\Expected_Income[[#This Row],[Additional Taxable Income]])*$L$48, " "))</f>
        <v xml:space="preserve"> </v>
      </c>
      <c r="N58" s="15" t="str">
        <f>IF(_Template\Expected_Income[[#This Row],[Source]]="Advantage",_Template\Expected_Income[[#This Row],[Salary Income]]*$M$47,IF(_Template\Expected_Income[[#This Row],[Source]]="Saline", _Template\Expected_Income[[#This Row],[Salary Income]]*$M$48, " "))</f>
        <v xml:space="preserve"> </v>
      </c>
      <c r="O58" s="16" t="str">
        <f>IF(_Template\Expected_Income[[#This Row],[Source]]="Advantage",$N$47,IF(_Template\Expected_Income[[#This Row],[Source]]="Saline", $N$48, " "))</f>
        <v xml:space="preserve"> </v>
      </c>
      <c r="P58" s="15" t="str">
        <f>IF(_Template\Expected_Income[[#This Row],[Source]]="Advantage",$P$47,IF(_Template\Expected_Income[[#This Row],[Source]]="Saline", $P$48, " "))</f>
        <v xml:space="preserve"> </v>
      </c>
      <c r="Q58" s="15" t="str">
        <f>IF(_Template\Expected_Income[[#This Row],[Source]]="Advantage",$O$47,IF(_Template\Expected_Income[[#This Row],[Source]]="Saline", $O$48, " "))</f>
        <v xml:space="preserve"> </v>
      </c>
      <c r="R58" s="15" t="str">
        <f>IF(_Template\Expected_Income[[#This Row],[Source]]&lt;&gt;"", _Template\Expected_Income[[#This Row],[Salary Income]]+_Template\Expected_Income[[#This Row],[Additional Taxable Income]]-_Template\Expected_Income[[#This Row],[Retirement Contributions]]-_Template\Expected_Income[[#This Row],[Pension Contributions]]-_Template\Expected_Income[[#This Row],[Healthcare Deductions]]-_Template\Expected_Income[[#This Row],[Other Payroll Deductions]]-_Template\Expected_Income[[#This Row],[Taxes]], "")</f>
        <v/>
      </c>
    </row>
    <row r="59" spans="2:18" x14ac:dyDescent="0.25">
      <c r="B59" s="6"/>
      <c r="C59" s="4"/>
      <c r="D59" s="4"/>
      <c r="E59" s="4"/>
      <c r="F59" s="4"/>
      <c r="G59" s="10"/>
      <c r="I59" s="6"/>
      <c r="J59" s="4"/>
      <c r="K59" s="15" t="str">
        <f>IF(_Template\Expected_Income[[#This Row],[Source]]="Advantage",$J$47,IF(_Template\Expected_Income[[#This Row],[Source]]="Saline", $J$48, " "))</f>
        <v xml:space="preserve"> </v>
      </c>
      <c r="L59" s="15" t="str">
        <f>IF(_Template\Expected_Income[[#This Row],[Source]]="Advantage",$K$47,IF(_Template\Expected_Income[[#This Row],[Source]]="Saline", $K$48, " "))</f>
        <v xml:space="preserve"> </v>
      </c>
      <c r="M59" s="15" t="str">
        <f>IF(_Template\Expected_Income[[#This Row],[Source]]="Advantage",(_Template\Expected_Income[[#This Row],[Salary Income]]+_Template\Expected_Income[[#This Row],[Additional Taxable Income]])*$L$47,IF(_Template\Expected_Income[[#This Row],[Source]]="Saline", (_Template\Expected_Income[[#This Row],[Salary Income]]+_Template\Expected_Income[[#This Row],[Additional Taxable Income]])*$L$48, " "))</f>
        <v xml:space="preserve"> </v>
      </c>
      <c r="N59" s="15" t="str">
        <f>IF(_Template\Expected_Income[[#This Row],[Source]]="Advantage",_Template\Expected_Income[[#This Row],[Salary Income]]*$M$47,IF(_Template\Expected_Income[[#This Row],[Source]]="Saline", _Template\Expected_Income[[#This Row],[Salary Income]]*$M$48, " "))</f>
        <v xml:space="preserve"> </v>
      </c>
      <c r="O59" s="16" t="str">
        <f>IF(_Template\Expected_Income[[#This Row],[Source]]="Advantage",$N$47,IF(_Template\Expected_Income[[#This Row],[Source]]="Saline", $N$48, " "))</f>
        <v xml:space="preserve"> </v>
      </c>
      <c r="P59" s="15" t="str">
        <f>IF(_Template\Expected_Income[[#This Row],[Source]]="Advantage",$P$47,IF(_Template\Expected_Income[[#This Row],[Source]]="Saline", $P$48, " "))</f>
        <v xml:space="preserve"> </v>
      </c>
      <c r="Q59" s="15" t="str">
        <f>IF(_Template\Expected_Income[[#This Row],[Source]]="Advantage",$O$47,IF(_Template\Expected_Income[[#This Row],[Source]]="Saline", $O$48, " "))</f>
        <v xml:space="preserve"> </v>
      </c>
      <c r="R59" s="15" t="str">
        <f>IF(_Template\Expected_Income[[#This Row],[Source]]&lt;&gt;"", _Template\Expected_Income[[#This Row],[Salary Income]]+_Template\Expected_Income[[#This Row],[Additional Taxable Income]]-_Template\Expected_Income[[#This Row],[Retirement Contributions]]-_Template\Expected_Income[[#This Row],[Pension Contributions]]-_Template\Expected_Income[[#This Row],[Healthcare Deductions]]-_Template\Expected_Income[[#This Row],[Other Payroll Deductions]]-_Template\Expected_Income[[#This Row],[Taxes]], "")</f>
        <v/>
      </c>
    </row>
    <row r="60" spans="2:18" x14ac:dyDescent="0.25">
      <c r="B60" s="6"/>
      <c r="C60" s="4"/>
      <c r="D60" s="4"/>
      <c r="E60" s="4"/>
      <c r="F60" s="4"/>
      <c r="G60" s="10"/>
      <c r="I60" s="8"/>
      <c r="J60" s="7"/>
      <c r="K60" s="17" t="str">
        <f>IF(_Template\Expected_Income[[#This Row],[Source]]="Advantage",$J$47,IF(_Template\Expected_Income[[#This Row],[Source]]="Saline", $J$48, " "))</f>
        <v xml:space="preserve"> </v>
      </c>
      <c r="L60" s="17" t="str">
        <f>IF(_Template\Expected_Income[[#This Row],[Source]]="Advantage",$K$47,IF(_Template\Expected_Income[[#This Row],[Source]]="Saline", $K$48, " "))</f>
        <v xml:space="preserve"> </v>
      </c>
      <c r="M60" s="17" t="str">
        <f>IF(_Template\Expected_Income[[#This Row],[Source]]="Advantage",(_Template\Expected_Income[[#This Row],[Salary Income]]+_Template\Expected_Income[[#This Row],[Additional Taxable Income]])*$L$47,IF(_Template\Expected_Income[[#This Row],[Source]]="Saline", (_Template\Expected_Income[[#This Row],[Salary Income]]+_Template\Expected_Income[[#This Row],[Additional Taxable Income]])*$L$48, " "))</f>
        <v xml:space="preserve"> </v>
      </c>
      <c r="N60" s="17" t="str">
        <f>IF(_Template\Expected_Income[[#This Row],[Source]]="Advantage",_Template\Expected_Income[[#This Row],[Salary Income]]*$M$47,IF(_Template\Expected_Income[[#This Row],[Source]]="Saline", _Template\Expected_Income[[#This Row],[Salary Income]]*$M$48, " "))</f>
        <v xml:space="preserve"> </v>
      </c>
      <c r="O60" s="20" t="str">
        <f>IF(_Template\Expected_Income[[#This Row],[Source]]="Advantage",$N$47,IF(_Template\Expected_Income[[#This Row],[Source]]="Saline", $N$48, " "))</f>
        <v xml:space="preserve"> </v>
      </c>
      <c r="P60" s="17" t="str">
        <f>IF(_Template\Expected_Income[[#This Row],[Source]]="Advantage",$P$47,IF(_Template\Expected_Income[[#This Row],[Source]]="Saline", $P$48, " "))</f>
        <v xml:space="preserve"> </v>
      </c>
      <c r="Q60" s="17" t="str">
        <f>IF(_Template\Expected_Income[[#This Row],[Source]]="Advantage",$O$47,IF(_Template\Expected_Income[[#This Row],[Source]]="Saline", $O$48, " "))</f>
        <v xml:space="preserve"> </v>
      </c>
      <c r="R60" s="17" t="str">
        <f>IF(_Template\Expected_Income[[#This Row],[Source]]&lt;&gt;"", _Template\Expected_Income[[#This Row],[Salary Income]]+_Template\Expected_Income[[#This Row],[Additional Taxable Income]]-_Template\Expected_Income[[#This Row],[Retirement Contributions]]-_Template\Expected_Income[[#This Row],[Pension Contributions]]-_Template\Expected_Income[[#This Row],[Healthcare Deductions]]-_Template\Expected_Income[[#This Row],[Other Payroll Deductions]]-_Template\Expected_Income[[#This Row],[Taxes]], "")</f>
        <v/>
      </c>
    </row>
    <row r="61" spans="2:18" x14ac:dyDescent="0.25">
      <c r="B61" s="6"/>
      <c r="C61" s="4"/>
      <c r="D61" s="4"/>
      <c r="E61" s="4"/>
      <c r="F61" s="4"/>
      <c r="G61" s="10"/>
    </row>
    <row r="62" spans="2:18" ht="23.25" x14ac:dyDescent="0.35">
      <c r="B62" s="6"/>
      <c r="C62" s="4"/>
      <c r="D62" s="4"/>
      <c r="E62" s="4"/>
      <c r="F62" s="4"/>
      <c r="G62" s="10"/>
      <c r="I62" s="2" t="s">
        <v>30</v>
      </c>
    </row>
    <row r="63" spans="2:18" x14ac:dyDescent="0.25">
      <c r="B63" s="6"/>
      <c r="C63" s="4"/>
      <c r="D63" s="4"/>
      <c r="E63" s="4"/>
      <c r="F63" s="4"/>
      <c r="G63" s="10"/>
      <c r="I63" s="1" t="s">
        <v>9</v>
      </c>
      <c r="J63" s="1" t="s">
        <v>21</v>
      </c>
      <c r="K63" s="1" t="s">
        <v>48</v>
      </c>
      <c r="L63" s="1" t="s">
        <v>49</v>
      </c>
      <c r="M63" s="1" t="s">
        <v>24</v>
      </c>
      <c r="N63" s="1" t="s">
        <v>50</v>
      </c>
      <c r="O63" s="1" t="s">
        <v>27</v>
      </c>
      <c r="P63" s="1" t="s">
        <v>25</v>
      </c>
      <c r="Q63" s="1" t="s">
        <v>28</v>
      </c>
      <c r="R63" s="1" t="s">
        <v>26</v>
      </c>
    </row>
    <row r="64" spans="2:18" x14ac:dyDescent="0.25">
      <c r="B64" s="6"/>
      <c r="C64" s="4"/>
      <c r="D64" s="4"/>
      <c r="E64" s="4"/>
      <c r="F64" s="4"/>
      <c r="G64" s="10"/>
      <c r="I64" s="6"/>
      <c r="J64" s="4"/>
      <c r="K64" s="5"/>
      <c r="L64" s="5"/>
      <c r="M64" s="5"/>
      <c r="N64" s="5"/>
      <c r="O64" s="10"/>
      <c r="P64" s="5"/>
      <c r="Q64" s="5"/>
      <c r="R64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65" spans="2:18" x14ac:dyDescent="0.25">
      <c r="B65" s="6"/>
      <c r="C65" s="4"/>
      <c r="D65" s="4"/>
      <c r="E65" s="4"/>
      <c r="F65" s="4"/>
      <c r="G65" s="10"/>
      <c r="I65" s="6"/>
      <c r="J65" s="4"/>
      <c r="K65" s="5"/>
      <c r="L65" s="5"/>
      <c r="M65" s="5"/>
      <c r="N65" s="5"/>
      <c r="O65" s="10"/>
      <c r="P65" s="5"/>
      <c r="Q65" s="5"/>
      <c r="R65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66" spans="2:18" x14ac:dyDescent="0.25">
      <c r="B66" s="6"/>
      <c r="C66" s="4"/>
      <c r="D66" s="4"/>
      <c r="E66" s="4"/>
      <c r="F66" s="4"/>
      <c r="G66" s="10"/>
      <c r="I66" s="6"/>
      <c r="J66" s="4"/>
      <c r="K66" s="5"/>
      <c r="L66" s="5"/>
      <c r="M66" s="5"/>
      <c r="N66" s="5"/>
      <c r="O66" s="10"/>
      <c r="P66" s="5"/>
      <c r="Q66" s="5"/>
      <c r="R66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67" spans="2:18" x14ac:dyDescent="0.25">
      <c r="B67" s="6"/>
      <c r="C67" s="4"/>
      <c r="D67" s="4"/>
      <c r="E67" s="4"/>
      <c r="F67" s="4"/>
      <c r="G67" s="10"/>
      <c r="I67" s="6"/>
      <c r="J67" s="4"/>
      <c r="K67" s="5"/>
      <c r="L67" s="5"/>
      <c r="M67" s="5"/>
      <c r="N67" s="5"/>
      <c r="O67" s="10"/>
      <c r="P67" s="5"/>
      <c r="Q67" s="5"/>
      <c r="R67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68" spans="2:18" x14ac:dyDescent="0.25">
      <c r="B68" s="6"/>
      <c r="C68" s="4"/>
      <c r="D68" s="4"/>
      <c r="E68" s="4"/>
      <c r="F68" s="4"/>
      <c r="G68" s="10"/>
      <c r="I68" s="6"/>
      <c r="J68" s="4"/>
      <c r="K68" s="5"/>
      <c r="L68" s="5"/>
      <c r="M68" s="5"/>
      <c r="N68" s="5"/>
      <c r="O68" s="10"/>
      <c r="P68" s="5"/>
      <c r="Q68" s="5"/>
      <c r="R68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69" spans="2:18" x14ac:dyDescent="0.25">
      <c r="B69" s="6"/>
      <c r="C69" s="4"/>
      <c r="D69" s="4"/>
      <c r="E69" s="4"/>
      <c r="F69" s="4"/>
      <c r="G69" s="10"/>
      <c r="I69" s="6"/>
      <c r="J69" s="4"/>
      <c r="K69" s="5"/>
      <c r="L69" s="5"/>
      <c r="M69" s="5"/>
      <c r="N69" s="5"/>
      <c r="O69" s="10"/>
      <c r="P69" s="5"/>
      <c r="Q69" s="5"/>
      <c r="R69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0" spans="2:18" x14ac:dyDescent="0.25">
      <c r="B70" s="6"/>
      <c r="C70" s="4"/>
      <c r="D70" s="4"/>
      <c r="E70" s="4"/>
      <c r="F70" s="4"/>
      <c r="G70" s="10"/>
      <c r="I70" s="6"/>
      <c r="J70" s="4"/>
      <c r="K70" s="5"/>
      <c r="L70" s="5"/>
      <c r="M70" s="5"/>
      <c r="N70" s="5"/>
      <c r="O70" s="10"/>
      <c r="P70" s="5"/>
      <c r="Q70" s="5"/>
      <c r="R70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1" spans="2:18" x14ac:dyDescent="0.25">
      <c r="B71" s="6"/>
      <c r="C71" s="4"/>
      <c r="D71" s="4"/>
      <c r="E71" s="4"/>
      <c r="F71" s="4"/>
      <c r="G71" s="10"/>
      <c r="I71" s="6"/>
      <c r="J71" s="4"/>
      <c r="K71" s="5"/>
      <c r="L71" s="5"/>
      <c r="M71" s="5"/>
      <c r="N71" s="5"/>
      <c r="O71" s="10"/>
      <c r="P71" s="5"/>
      <c r="Q71" s="5"/>
      <c r="R71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2" spans="2:18" x14ac:dyDescent="0.25">
      <c r="B72" s="6"/>
      <c r="C72" s="4"/>
      <c r="D72" s="4"/>
      <c r="E72" s="4"/>
      <c r="F72" s="4"/>
      <c r="G72" s="10"/>
      <c r="I72" s="8"/>
      <c r="J72" s="7"/>
      <c r="K72" s="9"/>
      <c r="L72" s="9"/>
      <c r="M72" s="9"/>
      <c r="N72" s="9"/>
      <c r="O72" s="12"/>
      <c r="P72" s="9"/>
      <c r="Q72" s="9"/>
      <c r="R72" s="17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3" spans="2:18" x14ac:dyDescent="0.25">
      <c r="B73" s="6"/>
      <c r="C73" s="4"/>
      <c r="D73" s="4"/>
      <c r="E73" s="4"/>
      <c r="F73" s="4"/>
      <c r="G73" s="10"/>
    </row>
    <row r="74" spans="2:18" x14ac:dyDescent="0.25">
      <c r="B74" s="6"/>
      <c r="C74" s="4"/>
      <c r="D74" s="4"/>
      <c r="E74" s="4"/>
      <c r="F74" s="4"/>
      <c r="G74" s="10"/>
    </row>
    <row r="75" spans="2:18" x14ac:dyDescent="0.25">
      <c r="B75" s="6"/>
      <c r="C75" s="4"/>
      <c r="D75" s="4"/>
      <c r="E75" s="4"/>
      <c r="F75" s="4"/>
      <c r="G75" s="10"/>
    </row>
    <row r="76" spans="2:18" x14ac:dyDescent="0.25">
      <c r="B76" s="6"/>
      <c r="C76" s="4"/>
      <c r="D76" s="4"/>
      <c r="E76" s="4"/>
      <c r="F76" s="4"/>
      <c r="G76" s="10"/>
    </row>
    <row r="77" spans="2:18" x14ac:dyDescent="0.25">
      <c r="B77" s="6"/>
      <c r="C77" s="4"/>
      <c r="D77" s="4"/>
      <c r="E77" s="4"/>
      <c r="F77" s="4"/>
      <c r="G77" s="10"/>
    </row>
    <row r="78" spans="2:18" x14ac:dyDescent="0.25">
      <c r="B78" s="6"/>
      <c r="C78" s="4"/>
      <c r="D78" s="4"/>
      <c r="E78" s="4"/>
      <c r="F78" s="4"/>
      <c r="G78" s="10"/>
    </row>
    <row r="79" spans="2:18" x14ac:dyDescent="0.25">
      <c r="B79" s="6"/>
      <c r="C79" s="4"/>
      <c r="D79" s="4"/>
      <c r="E79" s="4"/>
      <c r="F79" s="4"/>
      <c r="G79" s="10"/>
    </row>
    <row r="80" spans="2:18" x14ac:dyDescent="0.25">
      <c r="B80" s="6"/>
      <c r="C80" s="4"/>
      <c r="D80" s="4"/>
      <c r="E80" s="4"/>
      <c r="F80" s="4"/>
      <c r="G80" s="10"/>
    </row>
    <row r="81" spans="2:7" x14ac:dyDescent="0.25">
      <c r="B81" s="6"/>
      <c r="C81" s="4"/>
      <c r="D81" s="4"/>
      <c r="E81" s="4"/>
      <c r="F81" s="4"/>
      <c r="G81" s="10"/>
    </row>
    <row r="82" spans="2:7" x14ac:dyDescent="0.25">
      <c r="B82" s="6"/>
      <c r="C82" s="4"/>
      <c r="D82" s="4"/>
      <c r="E82" s="4"/>
      <c r="F82" s="4"/>
      <c r="G82" s="10"/>
    </row>
    <row r="83" spans="2:7" x14ac:dyDescent="0.25">
      <c r="B83" s="6"/>
      <c r="C83" s="4"/>
      <c r="D83" s="4"/>
      <c r="E83" s="4"/>
      <c r="F83" s="4"/>
      <c r="G83" s="10"/>
    </row>
    <row r="84" spans="2:7" x14ac:dyDescent="0.25">
      <c r="B84" s="6"/>
      <c r="C84" s="4"/>
      <c r="D84" s="4"/>
      <c r="E84" s="4"/>
      <c r="F84" s="4"/>
      <c r="G84" s="10"/>
    </row>
    <row r="85" spans="2:7" x14ac:dyDescent="0.25">
      <c r="B85" s="6"/>
      <c r="C85" s="4"/>
      <c r="D85" s="4"/>
      <c r="E85" s="4"/>
      <c r="F85" s="4"/>
      <c r="G85" s="10"/>
    </row>
    <row r="86" spans="2:7" x14ac:dyDescent="0.25">
      <c r="B86" s="6"/>
      <c r="C86" s="4"/>
      <c r="D86" s="4"/>
      <c r="E86" s="4"/>
      <c r="F86" s="4"/>
      <c r="G86" s="10"/>
    </row>
    <row r="87" spans="2:7" x14ac:dyDescent="0.25">
      <c r="B87" s="6"/>
      <c r="C87" s="4"/>
      <c r="D87" s="4"/>
      <c r="E87" s="4"/>
      <c r="F87" s="4"/>
      <c r="G87" s="10"/>
    </row>
    <row r="88" spans="2:7" x14ac:dyDescent="0.25">
      <c r="B88" s="6"/>
      <c r="C88" s="4"/>
      <c r="D88" s="4"/>
      <c r="E88" s="4"/>
      <c r="F88" s="4"/>
      <c r="G88" s="10"/>
    </row>
    <row r="89" spans="2:7" x14ac:dyDescent="0.25">
      <c r="B89" s="6"/>
      <c r="C89" s="4"/>
      <c r="D89" s="4"/>
      <c r="E89" s="4"/>
      <c r="F89" s="4"/>
      <c r="G89" s="10"/>
    </row>
    <row r="90" spans="2:7" x14ac:dyDescent="0.25">
      <c r="B90" s="6"/>
      <c r="C90" s="4"/>
      <c r="D90" s="4"/>
      <c r="E90" s="4"/>
      <c r="F90" s="4"/>
      <c r="G90" s="10"/>
    </row>
    <row r="91" spans="2:7" x14ac:dyDescent="0.25">
      <c r="B91" s="6"/>
      <c r="C91" s="4"/>
      <c r="D91" s="4"/>
      <c r="E91" s="4"/>
      <c r="F91" s="4"/>
      <c r="G91" s="10"/>
    </row>
    <row r="92" spans="2:7" x14ac:dyDescent="0.25">
      <c r="B92" s="6"/>
      <c r="C92" s="4"/>
      <c r="D92" s="4"/>
      <c r="E92" s="4"/>
      <c r="F92" s="4"/>
      <c r="G92" s="10"/>
    </row>
    <row r="93" spans="2:7" x14ac:dyDescent="0.25">
      <c r="B93" s="6"/>
      <c r="C93" s="4"/>
      <c r="D93" s="4"/>
      <c r="E93" s="4"/>
      <c r="F93" s="4"/>
      <c r="G93" s="10"/>
    </row>
    <row r="94" spans="2:7" x14ac:dyDescent="0.25">
      <c r="B94" s="6"/>
      <c r="C94" s="4"/>
      <c r="D94" s="4"/>
      <c r="E94" s="4"/>
      <c r="F94" s="4"/>
      <c r="G94" s="10"/>
    </row>
    <row r="95" spans="2:7" x14ac:dyDescent="0.25">
      <c r="B95" s="6"/>
      <c r="C95" s="4"/>
      <c r="D95" s="4"/>
      <c r="E95" s="4"/>
      <c r="F95" s="4"/>
      <c r="G95" s="10"/>
    </row>
    <row r="96" spans="2:7" x14ac:dyDescent="0.25">
      <c r="B96" s="6"/>
      <c r="C96" s="4"/>
      <c r="D96" s="4"/>
      <c r="E96" s="4"/>
      <c r="F96" s="4"/>
      <c r="G96" s="10"/>
    </row>
    <row r="97" spans="2:7" x14ac:dyDescent="0.25">
      <c r="B97" s="6"/>
      <c r="C97" s="4"/>
      <c r="D97" s="4"/>
      <c r="E97" s="4"/>
      <c r="F97" s="4"/>
      <c r="G97" s="10"/>
    </row>
    <row r="98" spans="2:7" x14ac:dyDescent="0.25">
      <c r="B98" s="6"/>
      <c r="C98" s="4"/>
      <c r="D98" s="4"/>
      <c r="E98" s="4"/>
      <c r="F98" s="4"/>
      <c r="G98" s="10"/>
    </row>
    <row r="99" spans="2:7" x14ac:dyDescent="0.25">
      <c r="B99" s="6"/>
      <c r="C99" s="4"/>
      <c r="D99" s="4"/>
      <c r="E99" s="4"/>
      <c r="F99" s="4"/>
      <c r="G99" s="10"/>
    </row>
    <row r="100" spans="2:7" x14ac:dyDescent="0.25">
      <c r="B100" s="6"/>
      <c r="C100" s="4"/>
      <c r="D100" s="4"/>
      <c r="E100" s="4"/>
      <c r="F100" s="4"/>
      <c r="G100" s="10"/>
    </row>
    <row r="101" spans="2:7" x14ac:dyDescent="0.25">
      <c r="B101" s="6"/>
      <c r="C101" s="4"/>
      <c r="D101" s="4"/>
      <c r="E101" s="4"/>
      <c r="F101" s="4"/>
      <c r="G101" s="10"/>
    </row>
    <row r="102" spans="2:7" x14ac:dyDescent="0.25">
      <c r="B102" s="6"/>
      <c r="C102" s="4"/>
      <c r="D102" s="4"/>
      <c r="E102" s="4"/>
      <c r="F102" s="4"/>
      <c r="G102" s="10"/>
    </row>
    <row r="103" spans="2:7" x14ac:dyDescent="0.25">
      <c r="B103" s="6"/>
      <c r="C103" s="4"/>
      <c r="D103" s="4"/>
      <c r="E103" s="4"/>
      <c r="F103" s="4"/>
      <c r="G103" s="10"/>
    </row>
    <row r="104" spans="2:7" x14ac:dyDescent="0.25">
      <c r="B104" s="6"/>
      <c r="C104" s="4"/>
      <c r="D104" s="4"/>
      <c r="E104" s="4"/>
      <c r="F104" s="4"/>
      <c r="G104" s="10"/>
    </row>
    <row r="105" spans="2:7" x14ac:dyDescent="0.25">
      <c r="B105" s="6"/>
      <c r="C105" s="4"/>
      <c r="D105" s="4"/>
      <c r="E105" s="4"/>
      <c r="F105" s="4"/>
      <c r="G105" s="10"/>
    </row>
    <row r="106" spans="2:7" x14ac:dyDescent="0.25">
      <c r="B106" s="6"/>
      <c r="C106" s="4"/>
      <c r="D106" s="4"/>
      <c r="E106" s="4"/>
      <c r="F106" s="4"/>
      <c r="G106" s="10"/>
    </row>
    <row r="107" spans="2:7" x14ac:dyDescent="0.25">
      <c r="B107" s="6"/>
      <c r="C107" s="4"/>
      <c r="D107" s="4"/>
      <c r="E107" s="4"/>
      <c r="F107" s="4"/>
      <c r="G107" s="10"/>
    </row>
    <row r="108" spans="2:7" x14ac:dyDescent="0.25">
      <c r="B108" s="6"/>
      <c r="C108" s="4"/>
      <c r="D108" s="4"/>
      <c r="E108" s="4"/>
      <c r="F108" s="4"/>
      <c r="G108" s="10"/>
    </row>
    <row r="109" spans="2:7" x14ac:dyDescent="0.25">
      <c r="B109" s="6"/>
      <c r="C109" s="4"/>
      <c r="D109" s="4"/>
      <c r="E109" s="4"/>
      <c r="F109" s="4"/>
      <c r="G109" s="10"/>
    </row>
    <row r="110" spans="2:7" x14ac:dyDescent="0.25">
      <c r="B110" s="6"/>
      <c r="C110" s="4"/>
      <c r="D110" s="4"/>
      <c r="E110" s="4"/>
      <c r="F110" s="4"/>
      <c r="G110" s="10"/>
    </row>
    <row r="111" spans="2:7" x14ac:dyDescent="0.25">
      <c r="B111" s="6"/>
      <c r="C111" s="4"/>
      <c r="D111" s="4"/>
      <c r="E111" s="4"/>
      <c r="F111" s="4"/>
      <c r="G111" s="10"/>
    </row>
    <row r="112" spans="2:7" x14ac:dyDescent="0.25">
      <c r="B112" s="6"/>
      <c r="C112" s="4"/>
      <c r="D112" s="4"/>
      <c r="E112" s="4"/>
      <c r="F112" s="4"/>
      <c r="G112" s="10"/>
    </row>
    <row r="113" spans="2:7" x14ac:dyDescent="0.25">
      <c r="B113" s="6"/>
      <c r="C113" s="4"/>
      <c r="D113" s="4"/>
      <c r="E113" s="4"/>
      <c r="F113" s="4"/>
      <c r="G113" s="10"/>
    </row>
    <row r="114" spans="2:7" x14ac:dyDescent="0.25">
      <c r="B114" s="6"/>
      <c r="C114" s="4"/>
      <c r="D114" s="4"/>
      <c r="E114" s="4"/>
      <c r="F114" s="4"/>
      <c r="G114" s="10"/>
    </row>
    <row r="115" spans="2:7" x14ac:dyDescent="0.25">
      <c r="B115" s="6"/>
      <c r="C115" s="4"/>
      <c r="D115" s="4"/>
      <c r="E115" s="4"/>
      <c r="F115" s="4"/>
      <c r="G115" s="10"/>
    </row>
    <row r="116" spans="2:7" x14ac:dyDescent="0.25">
      <c r="B116" s="6"/>
      <c r="C116" s="4"/>
      <c r="D116" s="4"/>
      <c r="E116" s="4"/>
      <c r="F116" s="4"/>
      <c r="G116" s="10"/>
    </row>
    <row r="117" spans="2:7" x14ac:dyDescent="0.25">
      <c r="B117" s="6"/>
      <c r="C117" s="4"/>
      <c r="D117" s="4"/>
      <c r="E117" s="4"/>
      <c r="F117" s="4"/>
      <c r="G117" s="10"/>
    </row>
    <row r="118" spans="2:7" x14ac:dyDescent="0.25">
      <c r="B118" s="6"/>
      <c r="C118" s="4"/>
      <c r="D118" s="4"/>
      <c r="E118" s="4"/>
      <c r="F118" s="4"/>
      <c r="G118" s="10"/>
    </row>
    <row r="119" spans="2:7" x14ac:dyDescent="0.25">
      <c r="B119" s="6"/>
      <c r="C119" s="4"/>
      <c r="D119" s="4"/>
      <c r="E119" s="4"/>
      <c r="F119" s="4"/>
      <c r="G119" s="10"/>
    </row>
    <row r="120" spans="2:7" x14ac:dyDescent="0.25">
      <c r="B120" s="6"/>
      <c r="C120" s="4"/>
      <c r="D120" s="4"/>
      <c r="E120" s="4"/>
      <c r="F120" s="4"/>
      <c r="G120" s="10"/>
    </row>
  </sheetData>
  <sheetProtection autoFilter="0"/>
  <phoneticPr fontId="3" type="noConversion"/>
  <conditionalFormatting sqref="G55:G120">
    <cfRule type="expression" dxfId="137" priority="22">
      <formula>AND(INDIRECT("_" &amp; SUBSTITUTE($C$2,"-","_") &amp; "\Transactions[@Category]") &lt;&gt; "Savings", INDIRECT("_" &amp; SUBSTITUTE($C$2,"-","_") &amp; "\Transactions[@Type]") = "Credit")</formula>
    </cfRule>
    <cfRule type="expression" dxfId="136" priority="23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G20:G54">
    <cfRule type="expression" dxfId="135" priority="20">
      <formula>AND(INDIRECT("_" &amp; SUBSTITUTE($C$2,"-","_") &amp; "\Transactions[@Category]") &lt;&gt; "Savings", INDIRECT("_" &amp; SUBSTITUTE($C$2,"-","_") &amp; "\Transactions[@Type]") = "Credit")</formula>
    </cfRule>
    <cfRule type="expression" dxfId="134" priority="21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P6:P24">
    <cfRule type="expression" dxfId="133" priority="9">
      <formula>AND(INDIRECT("_" &amp; SUBSTITUTE($C$2,"-","_") &amp; "\Budgets[@Type]")="Saving", INDIRECT("_" &amp; SUBSTITUTE($C$2,"-","_") &amp; "\Budgets[@[Remaining Budget]]")&gt;0)</formula>
    </cfRule>
    <cfRule type="expression" dxfId="132" priority="10">
      <formula>AND(INDIRECT("_" &amp; SUBSTITUTE($C$2,"-","_") &amp; "\Budgets[@Type]")="Saving", INDIRECT("_" &amp; SUBSTITUTE($C$2,"-","_") &amp; "\Budgets[@[Remaining Budget]]")&lt;0)</formula>
    </cfRule>
    <cfRule type="expression" dxfId="131" priority="11">
      <formula>AND(INDIRECT("_" &amp; SUBSTITUTE($C$2,"-","_") &amp; "\Budgets[@Type]")&lt;&gt;"Saving", INDIRECT("_" &amp; SUBSTITUTE($C$2,"-","_") &amp; "\Budgets[@[Remaining Budget]]")&lt;0)</formula>
    </cfRule>
  </conditionalFormatting>
  <conditionalFormatting sqref="E5 E10">
    <cfRule type="expression" dxfId="130" priority="5">
      <formula>E5&lt;0</formula>
    </cfRule>
    <cfRule type="expression" dxfId="129" priority="6">
      <formula>E5&gt;0</formula>
    </cfRule>
  </conditionalFormatting>
  <conditionalFormatting sqref="E6:E9">
    <cfRule type="expression" dxfId="128" priority="7">
      <formula>E6&lt;0</formula>
    </cfRule>
    <cfRule type="expression" dxfId="127" priority="8">
      <formula>E6&gt;0</formula>
    </cfRule>
  </conditionalFormatting>
  <conditionalFormatting sqref="E14">
    <cfRule type="expression" dxfId="126" priority="1">
      <formula>E14&lt;0</formula>
    </cfRule>
    <cfRule type="expression" dxfId="125" priority="2">
      <formula>E14&gt;0</formula>
    </cfRule>
  </conditionalFormatting>
  <conditionalFormatting sqref="E13 E15">
    <cfRule type="expression" dxfId="124" priority="3">
      <formula>E13&lt;0</formula>
    </cfRule>
    <cfRule type="expression" dxfId="123" priority="4">
      <formula>E13&gt;0</formula>
    </cfRule>
  </conditionalFormatting>
  <dataValidations count="5">
    <dataValidation type="list" showInputMessage="1" showErrorMessage="1" sqref="J6:J19" xr:uid="{2312BBE8-1DD0-41C6-8CBD-2714C5AF8A88}">
      <formula1>"Rolling,Fixed"</formula1>
    </dataValidation>
    <dataValidation type="list" showInputMessage="1" showErrorMessage="1" sqref="J20" xr:uid="{A98F8BCB-4195-4349-8D1C-8F29752CAB3A}">
      <formula1>"Rolling,Fixed,Saving"</formula1>
    </dataValidation>
    <dataValidation type="list" allowBlank="1" showInputMessage="1" showErrorMessage="1" sqref="E20:E120" xr:uid="{EB170196-1118-4C97-9161-E86478D49D67}">
      <formula1>INDIRECT("_" &amp; SUBSTITUTE($C$2,"-","_") &amp; "\Budgets[Name]")</formula1>
    </dataValidation>
    <dataValidation type="list" allowBlank="1" showInputMessage="1" showErrorMessage="1" sqref="J28:J43" xr:uid="{F5503B13-D553-4F16-B6F0-33B91A40639B}">
      <formula1>"Spending,Reserve,Savings,Loan,Safety Net,Retirement"</formula1>
    </dataValidation>
    <dataValidation type="list" allowBlank="1" showInputMessage="1" showErrorMessage="1" sqref="F20:F120" xr:uid="{B05E802A-906F-40D1-9701-2D696BB85752}">
      <formula1>"Credit,Debit"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46D02-DEEF-432B-B81E-90F7B96880F0}">
  <sheetPr codeName="Sheet34"/>
  <dimension ref="B2:R120"/>
  <sheetViews>
    <sheetView topLeftCell="A66" zoomScale="90" zoomScaleNormal="90" workbookViewId="0">
      <selection activeCell="I64" sqref="I64:Q67"/>
    </sheetView>
  </sheetViews>
  <sheetFormatPr defaultRowHeight="15" x14ac:dyDescent="0.25"/>
  <cols>
    <col min="2" max="2" width="36.85546875" customWidth="1"/>
    <col min="3" max="4" width="24.140625" bestFit="1" customWidth="1"/>
    <col min="5" max="5" width="23.5703125" bestFit="1" customWidth="1"/>
    <col min="6" max="6" width="24.85546875" customWidth="1"/>
    <col min="7" max="7" width="26.140625" customWidth="1"/>
    <col min="8" max="8" width="27" customWidth="1"/>
    <col min="9" max="18" width="25.7109375" customWidth="1"/>
  </cols>
  <sheetData>
    <row r="2" spans="2:16" x14ac:dyDescent="0.25">
      <c r="B2" s="1" t="s">
        <v>13</v>
      </c>
      <c r="C2" t="str" cm="1">
        <f t="array" aca="1" ref="C2" ca="1">_xlfn.TEXTAFTER(CELL("filename",A1),"]")</f>
        <v>2023-12</v>
      </c>
      <c r="D2" s="1" t="s">
        <v>14</v>
      </c>
      <c r="E2" t="str">
        <f ca="1">_xlfn.CONCAT(IF(RIGHT(C2,2)="01", VALUE(LEFT(C2,4))-1, LEFT(C2,4)), "-", IF(RIGHT(C2,2)="01","12",TEXT(VALUE(RIGHT(C2,2))-1,"00")))</f>
        <v>2023-11</v>
      </c>
    </row>
    <row r="4" spans="2:16" ht="23.25" x14ac:dyDescent="0.35">
      <c r="B4" s="2" t="s">
        <v>6</v>
      </c>
      <c r="C4" s="1" t="s">
        <v>35</v>
      </c>
      <c r="D4" s="1" t="s">
        <v>36</v>
      </c>
      <c r="E4" s="1" t="s">
        <v>37</v>
      </c>
      <c r="I4" s="2" t="s">
        <v>0</v>
      </c>
    </row>
    <row r="5" spans="2:16" x14ac:dyDescent="0.25">
      <c r="B5" s="1" t="s">
        <v>31</v>
      </c>
      <c r="C5" s="3">
        <f ca="1">SUM(INDIRECT("_" &amp; SUBSTITUTE($C$2,"-","_") &amp; "\Expected_Income[Salary Income]")) + SUM(INDIRECT("_" &amp; SUBSTITUTE($C$2,"-","_") &amp; "\Expected_Income[Additional Taxable Income]"))</f>
        <v>0</v>
      </c>
      <c r="D5" s="3">
        <f ca="1">SUM(INDIRECT("_" &amp; SUBSTITUTE($C$2,"-","_") &amp; "\Actual_Income[Salary Income]")) + SUM(INDIRECT("_" &amp; SUBSTITUTE($C$2,"-","_") &amp; "\Actual_Income[Additional Taxable Income]"))</f>
        <v>0</v>
      </c>
      <c r="E5" s="14">
        <f t="shared" ref="E5:E10" ca="1" si="0">D5-C5</f>
        <v>0</v>
      </c>
      <c r="I5" s="1" t="s">
        <v>5</v>
      </c>
      <c r="J5" s="1" t="s">
        <v>1</v>
      </c>
      <c r="K5" s="1" t="s">
        <v>2</v>
      </c>
      <c r="L5" s="1" t="s">
        <v>3</v>
      </c>
      <c r="M5" s="1" t="s">
        <v>7</v>
      </c>
      <c r="N5" s="1" t="s">
        <v>22</v>
      </c>
      <c r="O5" s="1" t="s">
        <v>23</v>
      </c>
      <c r="P5" s="1" t="s">
        <v>4</v>
      </c>
    </row>
    <row r="6" spans="2:16" x14ac:dyDescent="0.25">
      <c r="B6" s="1" t="s">
        <v>32</v>
      </c>
      <c r="C6" s="3">
        <f ca="1">SUM(INDIRECT("_" &amp; SUBSTITUTE($C$2,"-","_") &amp; "\Expected_Income[Retirement Contributions]"))</f>
        <v>0</v>
      </c>
      <c r="D6" s="3">
        <f ca="1">SUM(INDIRECT("_" &amp; SUBSTITUTE($C$2,"-","_") &amp; "\Actual_Income[Retirement Contributions]"))</f>
        <v>0</v>
      </c>
      <c r="E6" s="14">
        <f t="shared" ca="1" si="0"/>
        <v>0</v>
      </c>
      <c r="I6" s="4"/>
      <c r="J6" s="4"/>
      <c r="K6" s="5"/>
      <c r="L6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6" s="5"/>
      <c r="N6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6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6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7" spans="2:16" x14ac:dyDescent="0.25">
      <c r="B7" s="1" t="s">
        <v>45</v>
      </c>
      <c r="C7" s="14">
        <f ca="1">SUM(INDIRECT("_" &amp; SUBSTITUTE($C$2,"-","_") &amp; "\Expected_Income[Healthcare Deductions]"))</f>
        <v>0</v>
      </c>
      <c r="D7" s="14">
        <f ca="1">SUM(INDIRECT("_" &amp; SUBSTITUTE($C$2,"-","_") &amp; "\Actual_Income[Healthcare Deductions]"))</f>
        <v>0</v>
      </c>
      <c r="E7" s="14">
        <f t="shared" ca="1" si="0"/>
        <v>0</v>
      </c>
      <c r="I7" s="4"/>
      <c r="J7" s="4"/>
      <c r="K7" s="5"/>
      <c r="L7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7" s="5"/>
      <c r="N7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7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7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8" spans="2:16" x14ac:dyDescent="0.25">
      <c r="B8" s="1" t="s">
        <v>44</v>
      </c>
      <c r="C8" s="14">
        <f ca="1">SUM(INDIRECT("_" &amp; SUBSTITUTE($C$2,"-","_") &amp; "\Expected_Income[Other Payroll Deductions]"))</f>
        <v>0</v>
      </c>
      <c r="D8" s="14">
        <f ca="1">SUM(INDIRECT("_" &amp; SUBSTITUTE($C$2,"-","_") &amp; "\Actual_Income[Other Payroll Deductions]"))</f>
        <v>0</v>
      </c>
      <c r="E8" s="14">
        <f t="shared" ca="1" si="0"/>
        <v>0</v>
      </c>
      <c r="I8" s="4"/>
      <c r="J8" s="4"/>
      <c r="K8" s="5"/>
      <c r="L8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8" s="5"/>
      <c r="N8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8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8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9" spans="2:16" x14ac:dyDescent="0.25">
      <c r="B9" s="1" t="s">
        <v>33</v>
      </c>
      <c r="C9" s="14">
        <f ca="1">SUM(INDIRECT("_" &amp; SUBSTITUTE($C$2,"-","_") &amp; "\Expected_Income[Taxes]"))</f>
        <v>0</v>
      </c>
      <c r="D9" s="3">
        <f ca="1">SUM(INDIRECT("_" &amp; SUBSTITUTE($C$2,"-","_") &amp; "\Actual_Income[Taxes]"))</f>
        <v>0</v>
      </c>
      <c r="E9" s="14">
        <f t="shared" ca="1" si="0"/>
        <v>0</v>
      </c>
      <c r="I9" s="4"/>
      <c r="J9" s="4"/>
      <c r="K9" s="5"/>
      <c r="L9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9" s="5"/>
      <c r="N9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9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9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10" spans="2:16" x14ac:dyDescent="0.25">
      <c r="B10" s="1" t="s">
        <v>34</v>
      </c>
      <c r="C10" s="14">
        <f ca="1">SUM(INDIRECT("_" &amp; SUBSTITUTE($C$2,"-","_") &amp; "\Expected_Income[Net Income]"))</f>
        <v>0</v>
      </c>
      <c r="D10" s="3">
        <f ca="1">SUM(INDIRECT("_" &amp; SUBSTITUTE($C$2,"-","_") &amp; "\Actual_Income[Net Income]"))</f>
        <v>0</v>
      </c>
      <c r="E10" s="14">
        <f t="shared" ca="1" si="0"/>
        <v>0</v>
      </c>
      <c r="I10" s="4"/>
      <c r="J10" s="4"/>
      <c r="K10" s="5"/>
      <c r="L10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0" s="5"/>
      <c r="N10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0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0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11" spans="2:16" x14ac:dyDescent="0.25">
      <c r="I11" s="4"/>
      <c r="J11" s="4"/>
      <c r="K11" s="5"/>
      <c r="L11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1" s="5"/>
      <c r="N11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1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1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12" spans="2:16" x14ac:dyDescent="0.25">
      <c r="C12" s="1" t="s">
        <v>43</v>
      </c>
      <c r="D12" s="1" t="s">
        <v>36</v>
      </c>
      <c r="E12" s="1" t="s">
        <v>37</v>
      </c>
      <c r="I12" s="4"/>
      <c r="J12" s="4"/>
      <c r="K12" s="5"/>
      <c r="L12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2" s="5"/>
      <c r="N12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2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2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13" spans="2:16" x14ac:dyDescent="0.25">
      <c r="B13" s="1" t="s">
        <v>41</v>
      </c>
      <c r="C13" s="14">
        <f ca="1">SUMIF(INDIRECT("_" &amp; SUBSTITUTE($C$2,"-","_") &amp; "\Budgets[Type]"), "&lt;&gt;Saving", INDIRECT("_" &amp; SUBSTITUTE($C$2,"-","_") &amp; "\Budgets[Amount]"))</f>
        <v>0</v>
      </c>
      <c r="D13" s="14">
        <f ca="1">SUMIF(INDIRECT("_" &amp; SUBSTITUTE($C$2,"-","_") &amp; "\Budgets[Type]"), "&lt;&gt;Saving", INDIRECT("_" &amp; SUBSTITUTE($C$2,"-","_") &amp; "\Budgets[Total Debits]"))</f>
        <v>0</v>
      </c>
      <c r="E13" s="14">
        <f ca="1">D13-C13</f>
        <v>0</v>
      </c>
      <c r="I13" s="4"/>
      <c r="J13" s="4"/>
      <c r="K13" s="5"/>
      <c r="L13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3" s="5"/>
      <c r="N13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3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3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14" spans="2:16" x14ac:dyDescent="0.25">
      <c r="B14" s="1" t="s">
        <v>42</v>
      </c>
      <c r="C14" s="14">
        <f ca="1">SUMIF(INDIRECT("_" &amp; SUBSTITUTE($C$2,"-","_") &amp; "\Budgets[Type]"), "=Saving", INDIRECT("_" &amp; SUBSTITUTE($C$2,"-","_") &amp; "\Budgets[Amount]"))</f>
        <v>0</v>
      </c>
      <c r="D14" s="14">
        <f ca="1">SUMIF(INDIRECT("_" &amp; SUBSTITUTE($C$2,"-","_") &amp; "\Budgets[Type]"), "=Saving", INDIRECT("_" &amp; SUBSTITUTE($C$2,"-","_") &amp; "\Budgets[Total Credits]")) - SUMIF(INDIRECT("_" &amp; SUBSTITUTE($C$2,"-","_") &amp; "\Budgets[Type]"), "=Saving", INDIRECT("_" &amp; SUBSTITUTE($C$2,"-","_") &amp; "\Budgets[Total Debits]"))</f>
        <v>0</v>
      </c>
      <c r="E14" s="14">
        <f ca="1">D14-C14</f>
        <v>0</v>
      </c>
      <c r="I14" s="4"/>
      <c r="J14" s="4"/>
      <c r="K14" s="5"/>
      <c r="L14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4" s="5"/>
      <c r="N14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4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4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15" spans="2:16" x14ac:dyDescent="0.25">
      <c r="B15" s="1" t="s">
        <v>47</v>
      </c>
      <c r="C15" s="14">
        <f ca="1">C13+C14</f>
        <v>0</v>
      </c>
      <c r="D15" s="14"/>
      <c r="E15" s="14"/>
      <c r="I15" s="4"/>
      <c r="J15" s="4"/>
      <c r="K15" s="5"/>
      <c r="L15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5" s="5"/>
      <c r="N15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5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5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16" spans="2:16" x14ac:dyDescent="0.25">
      <c r="B16" s="1" t="s">
        <v>46</v>
      </c>
      <c r="C16" s="14">
        <f ca="1">C10-C13-C14</f>
        <v>0</v>
      </c>
      <c r="D16" s="14"/>
      <c r="E16" s="14"/>
      <c r="I16" s="4"/>
      <c r="J16" s="4"/>
      <c r="K16" s="5"/>
      <c r="L16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6" s="5"/>
      <c r="N16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6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6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17" spans="2:16" x14ac:dyDescent="0.25">
      <c r="I17" s="4"/>
      <c r="J17" s="4"/>
      <c r="K17" s="5"/>
      <c r="L17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7" s="5"/>
      <c r="N17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7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7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18" spans="2:16" ht="23.25" x14ac:dyDescent="0.35">
      <c r="B18" s="2" t="s">
        <v>8</v>
      </c>
      <c r="I18" s="4"/>
      <c r="J18" s="4"/>
      <c r="K18" s="5"/>
      <c r="L18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8" s="5"/>
      <c r="N18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8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8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19" spans="2:16" x14ac:dyDescent="0.25">
      <c r="B19" s="1" t="s">
        <v>9</v>
      </c>
      <c r="C19" s="1" t="s">
        <v>10</v>
      </c>
      <c r="D19" s="1" t="s">
        <v>11</v>
      </c>
      <c r="E19" s="1" t="s">
        <v>12</v>
      </c>
      <c r="F19" s="1" t="s">
        <v>1</v>
      </c>
      <c r="G19" s="1" t="s">
        <v>2</v>
      </c>
      <c r="I19" s="4"/>
      <c r="J19" s="4"/>
      <c r="K19" s="5"/>
      <c r="L19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9" s="5"/>
      <c r="N19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9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9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20" spans="2:16" x14ac:dyDescent="0.25">
      <c r="B20" s="6"/>
      <c r="C20" s="4"/>
      <c r="D20" s="4"/>
      <c r="E20" s="4"/>
      <c r="F20" s="4"/>
      <c r="G20" s="10"/>
      <c r="I20" s="4"/>
      <c r="J20" s="4"/>
      <c r="K20" s="5"/>
      <c r="L20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20" s="5"/>
      <c r="N20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20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20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21" spans="2:16" x14ac:dyDescent="0.25">
      <c r="B21" s="6"/>
      <c r="C21" s="4"/>
      <c r="D21" s="4"/>
      <c r="E21" s="4"/>
      <c r="F21" s="4"/>
      <c r="G21" s="10"/>
      <c r="I21" s="7"/>
      <c r="J21" s="7"/>
      <c r="K21" s="9"/>
      <c r="L21" s="19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21" s="9"/>
      <c r="N21" s="13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21" s="13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21" s="13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22" spans="2:16" x14ac:dyDescent="0.25">
      <c r="B22" s="6"/>
      <c r="C22" s="4"/>
      <c r="D22" s="4"/>
      <c r="E22" s="4"/>
      <c r="F22" s="4"/>
      <c r="G22" s="10"/>
      <c r="I22" s="4"/>
      <c r="J22" s="4"/>
      <c r="K22" s="5"/>
      <c r="L22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22" s="5"/>
      <c r="N22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22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22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23" spans="2:16" x14ac:dyDescent="0.25">
      <c r="B23" s="6"/>
      <c r="C23" s="4"/>
      <c r="D23" s="4"/>
      <c r="E23" s="4"/>
      <c r="F23" s="4"/>
      <c r="G23" s="10"/>
      <c r="I23" s="4"/>
      <c r="J23" s="4"/>
      <c r="K23" s="5"/>
      <c r="L23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23" s="5"/>
      <c r="N23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23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23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24" spans="2:16" x14ac:dyDescent="0.25">
      <c r="B24" s="6"/>
      <c r="C24" s="4"/>
      <c r="D24" s="4"/>
      <c r="E24" s="4"/>
      <c r="F24" s="4"/>
      <c r="G24" s="10"/>
      <c r="I24" s="4"/>
      <c r="J24" s="4"/>
      <c r="K24" s="5"/>
      <c r="L24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24" s="5"/>
      <c r="N24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24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24" s="11">
        <f ca="1">IF(_2023_12\Budgets[[#This Row],[Type]]&lt;&gt;"Saving", _2023_12\Budgets[[#This Row],[Amount]]+IF(NOT(_2023_12\Budgets[[#This Row],[Rollover From Last Month]]=""),_2023_12\Budgets[[#This Row],[Rollover From Last Month]],0)-_2023_12\Budgets[[#This Row],[Total Debits]]+_2023_12\Budgets[[#This Row],[Total Credits]], _2023_12\Budgets[[#This Row],[Amount]]+IF(NOT(_2023_12\Budgets[[#This Row],[Rollover From Last Month]]=""),_2023_12\Budgets[[#This Row],[Rollover From Last Month]],0)+_2023_12\Budgets[[#This Row],[Total Debits]]-_2023_12\Budgets[[#This Row],[Total Credits]])</f>
        <v>0</v>
      </c>
    </row>
    <row r="25" spans="2:16" x14ac:dyDescent="0.25">
      <c r="B25" s="6"/>
      <c r="C25" s="4"/>
      <c r="D25" s="4"/>
      <c r="E25" s="4"/>
      <c r="F25" s="4"/>
      <c r="G25" s="10"/>
    </row>
    <row r="26" spans="2:16" ht="23.25" x14ac:dyDescent="0.35">
      <c r="B26" s="6"/>
      <c r="C26" s="4"/>
      <c r="D26" s="4"/>
      <c r="E26" s="4"/>
      <c r="F26" s="4"/>
      <c r="G26" s="10"/>
      <c r="I26" s="2" t="s">
        <v>20</v>
      </c>
    </row>
    <row r="27" spans="2:16" x14ac:dyDescent="0.25">
      <c r="B27" s="6"/>
      <c r="C27" s="4"/>
      <c r="D27" s="4"/>
      <c r="E27" s="4"/>
      <c r="F27" s="4"/>
      <c r="G27" s="10"/>
      <c r="I27" s="1" t="s">
        <v>5</v>
      </c>
      <c r="J27" s="1" t="s">
        <v>12</v>
      </c>
      <c r="K27" s="1" t="s">
        <v>15</v>
      </c>
      <c r="L27" s="1" t="s">
        <v>16</v>
      </c>
      <c r="M27" s="1" t="s">
        <v>17</v>
      </c>
      <c r="N27" s="1" t="s">
        <v>18</v>
      </c>
      <c r="O27" s="1" t="s">
        <v>19</v>
      </c>
    </row>
    <row r="28" spans="2:16" x14ac:dyDescent="0.25">
      <c r="B28" s="6"/>
      <c r="C28" s="4"/>
      <c r="D28" s="4"/>
      <c r="E28" s="4"/>
      <c r="F28" s="4"/>
      <c r="G28" s="10"/>
      <c r="I28" s="4"/>
      <c r="J28" s="4"/>
      <c r="K28" s="5"/>
      <c r="L28" s="5"/>
      <c r="M28" s="5"/>
      <c r="N28" s="5"/>
      <c r="O28" s="5"/>
    </row>
    <row r="29" spans="2:16" x14ac:dyDescent="0.25">
      <c r="B29" s="6"/>
      <c r="C29" s="4"/>
      <c r="D29" s="4"/>
      <c r="E29" s="4"/>
      <c r="F29" s="4"/>
      <c r="G29" s="10"/>
      <c r="I29" s="4"/>
      <c r="J29" s="4"/>
      <c r="K29" s="5"/>
      <c r="L29" s="5"/>
      <c r="M29" s="5"/>
      <c r="N29" s="5"/>
      <c r="O29" s="5"/>
    </row>
    <row r="30" spans="2:16" x14ac:dyDescent="0.25">
      <c r="B30" s="6"/>
      <c r="C30" s="4"/>
      <c r="D30" s="4"/>
      <c r="E30" s="4"/>
      <c r="F30" s="4"/>
      <c r="G30" s="10"/>
      <c r="I30" s="4"/>
      <c r="J30" s="4"/>
      <c r="K30" s="5"/>
      <c r="L30" s="5"/>
      <c r="M30" s="5"/>
      <c r="N30" s="5"/>
      <c r="O30" s="5"/>
    </row>
    <row r="31" spans="2:16" x14ac:dyDescent="0.25">
      <c r="B31" s="6"/>
      <c r="C31" s="4"/>
      <c r="D31" s="4"/>
      <c r="E31" s="4"/>
      <c r="F31" s="4"/>
      <c r="G31" s="10"/>
      <c r="I31" s="4"/>
      <c r="J31" s="4"/>
      <c r="K31" s="5"/>
      <c r="L31" s="5"/>
      <c r="M31" s="5"/>
      <c r="N31" s="5"/>
      <c r="O31" s="5"/>
    </row>
    <row r="32" spans="2:16" x14ac:dyDescent="0.25">
      <c r="B32" s="6"/>
      <c r="C32" s="4"/>
      <c r="D32" s="4"/>
      <c r="E32" s="4"/>
      <c r="F32" s="4"/>
      <c r="G32" s="10"/>
      <c r="I32" s="4"/>
      <c r="J32" s="4"/>
      <c r="K32" s="5"/>
      <c r="L32" s="5"/>
      <c r="M32" s="5"/>
      <c r="N32" s="5"/>
      <c r="O32" s="5"/>
    </row>
    <row r="33" spans="2:16" x14ac:dyDescent="0.25">
      <c r="B33" s="6"/>
      <c r="C33" s="4"/>
      <c r="D33" s="4"/>
      <c r="E33" s="4"/>
      <c r="F33" s="4"/>
      <c r="G33" s="10"/>
      <c r="I33" s="4"/>
      <c r="J33" s="4"/>
      <c r="K33" s="5"/>
      <c r="L33" s="5"/>
      <c r="M33" s="5"/>
      <c r="N33" s="5"/>
      <c r="O33" s="5"/>
    </row>
    <row r="34" spans="2:16" x14ac:dyDescent="0.25">
      <c r="B34" s="6"/>
      <c r="C34" s="4"/>
      <c r="D34" s="4"/>
      <c r="E34" s="4"/>
      <c r="F34" s="4"/>
      <c r="G34" s="10"/>
      <c r="I34" s="4"/>
      <c r="J34" s="4"/>
      <c r="K34" s="5"/>
      <c r="L34" s="5"/>
      <c r="M34" s="5"/>
      <c r="N34" s="5"/>
      <c r="O34" s="5"/>
    </row>
    <row r="35" spans="2:16" x14ac:dyDescent="0.25">
      <c r="B35" s="6"/>
      <c r="C35" s="4"/>
      <c r="D35" s="4"/>
      <c r="E35" s="4"/>
      <c r="F35" s="4"/>
      <c r="G35" s="10"/>
      <c r="I35" s="4"/>
      <c r="J35" s="4"/>
      <c r="K35" s="5"/>
      <c r="L35" s="5"/>
      <c r="M35" s="5"/>
      <c r="N35" s="5"/>
      <c r="O35" s="5"/>
    </row>
    <row r="36" spans="2:16" x14ac:dyDescent="0.25">
      <c r="B36" s="6"/>
      <c r="C36" s="4"/>
      <c r="D36" s="4"/>
      <c r="E36" s="4"/>
      <c r="F36" s="4"/>
      <c r="G36" s="10"/>
      <c r="I36" s="7"/>
      <c r="J36" s="7"/>
      <c r="K36" s="9"/>
      <c r="L36" s="9"/>
      <c r="M36" s="9"/>
      <c r="N36" s="9"/>
      <c r="O36" s="9"/>
    </row>
    <row r="37" spans="2:16" x14ac:dyDescent="0.25">
      <c r="B37" s="6"/>
      <c r="C37" s="4"/>
      <c r="D37" s="4"/>
      <c r="E37" s="4"/>
      <c r="F37" s="4"/>
      <c r="G37" s="10"/>
      <c r="I37" s="7"/>
      <c r="J37" s="7"/>
      <c r="K37" s="9"/>
      <c r="L37" s="9"/>
      <c r="M37" s="9"/>
      <c r="N37" s="9"/>
      <c r="O37" s="9"/>
    </row>
    <row r="38" spans="2:16" x14ac:dyDescent="0.25">
      <c r="B38" s="6"/>
      <c r="C38" s="4"/>
      <c r="D38" s="4"/>
      <c r="E38" s="4"/>
      <c r="F38" s="4"/>
      <c r="G38" s="10"/>
      <c r="I38" s="7"/>
      <c r="J38" s="7"/>
      <c r="K38" s="9"/>
      <c r="L38" s="9"/>
      <c r="M38" s="9"/>
      <c r="N38" s="9"/>
      <c r="O38" s="9"/>
    </row>
    <row r="39" spans="2:16" x14ac:dyDescent="0.25">
      <c r="B39" s="6"/>
      <c r="C39" s="4"/>
      <c r="D39" s="4"/>
      <c r="E39" s="4"/>
      <c r="F39" s="4"/>
      <c r="G39" s="10"/>
      <c r="I39" s="7"/>
      <c r="J39" s="7"/>
      <c r="K39" s="9"/>
      <c r="L39" s="9"/>
      <c r="M39" s="9"/>
      <c r="N39" s="9"/>
      <c r="O39" s="9"/>
    </row>
    <row r="40" spans="2:16" x14ac:dyDescent="0.25">
      <c r="B40" s="6"/>
      <c r="C40" s="4"/>
      <c r="D40" s="4"/>
      <c r="E40" s="4"/>
      <c r="F40" s="4"/>
      <c r="G40" s="10"/>
      <c r="I40" s="7"/>
      <c r="J40" s="7"/>
      <c r="K40" s="9"/>
      <c r="L40" s="9"/>
      <c r="M40" s="9"/>
      <c r="N40" s="9"/>
      <c r="O40" s="9"/>
    </row>
    <row r="41" spans="2:16" x14ac:dyDescent="0.25">
      <c r="B41" s="6"/>
      <c r="C41" s="4"/>
      <c r="D41" s="4"/>
      <c r="E41" s="4"/>
      <c r="F41" s="4"/>
      <c r="G41" s="10"/>
      <c r="I41" s="4"/>
      <c r="J41" s="4"/>
      <c r="K41" s="5"/>
      <c r="L41" s="5"/>
      <c r="M41" s="5"/>
      <c r="N41" s="5"/>
      <c r="O41" s="5"/>
    </row>
    <row r="42" spans="2:16" x14ac:dyDescent="0.25">
      <c r="B42" s="6"/>
      <c r="C42" s="4"/>
      <c r="D42" s="4"/>
      <c r="E42" s="4"/>
      <c r="F42" s="4"/>
      <c r="G42" s="10"/>
      <c r="I42" s="4"/>
      <c r="J42" s="4"/>
      <c r="K42" s="9"/>
      <c r="L42" s="5"/>
      <c r="M42" s="5"/>
      <c r="N42" s="5"/>
      <c r="O42" s="5"/>
    </row>
    <row r="43" spans="2:16" x14ac:dyDescent="0.25">
      <c r="B43" s="6"/>
      <c r="C43" s="4"/>
      <c r="D43" s="4"/>
      <c r="E43" s="4"/>
      <c r="F43" s="4"/>
      <c r="G43" s="10"/>
      <c r="I43" s="4"/>
      <c r="J43" s="4"/>
      <c r="K43" s="9"/>
      <c r="L43" s="5"/>
      <c r="M43" s="5"/>
      <c r="N43" s="5"/>
      <c r="O43" s="5"/>
    </row>
    <row r="44" spans="2:16" x14ac:dyDescent="0.25">
      <c r="B44" s="6"/>
      <c r="C44" s="4"/>
      <c r="D44" s="4"/>
      <c r="E44" s="4"/>
      <c r="F44" s="4"/>
      <c r="G44" s="10"/>
    </row>
    <row r="45" spans="2:16" ht="23.25" x14ac:dyDescent="0.35">
      <c r="B45" s="6"/>
      <c r="C45" s="4"/>
      <c r="D45" s="4"/>
      <c r="E45" s="4"/>
      <c r="F45" s="4"/>
      <c r="G45" s="10"/>
      <c r="I45" s="2" t="s">
        <v>40</v>
      </c>
    </row>
    <row r="46" spans="2:16" x14ac:dyDescent="0.25">
      <c r="B46" s="6"/>
      <c r="C46" s="4"/>
      <c r="D46" s="4"/>
      <c r="E46" s="4"/>
      <c r="F46" s="4"/>
      <c r="G46" s="10"/>
      <c r="J46" s="1" t="s">
        <v>48</v>
      </c>
      <c r="K46" s="1" t="s">
        <v>49</v>
      </c>
      <c r="L46" s="1" t="s">
        <v>24</v>
      </c>
      <c r="M46" s="1" t="s">
        <v>50</v>
      </c>
      <c r="N46" s="1" t="s">
        <v>27</v>
      </c>
      <c r="O46" s="1" t="s">
        <v>51</v>
      </c>
      <c r="P46" s="1" t="s">
        <v>25</v>
      </c>
    </row>
    <row r="47" spans="2:16" x14ac:dyDescent="0.25">
      <c r="B47" s="6"/>
      <c r="C47" s="4"/>
      <c r="D47" s="4"/>
      <c r="E47" s="4"/>
      <c r="F47" s="4"/>
      <c r="G47" s="10"/>
      <c r="I47" s="1" t="s">
        <v>38</v>
      </c>
      <c r="J47" s="10"/>
      <c r="K47" s="10"/>
      <c r="L47" s="21"/>
      <c r="M47" s="21"/>
      <c r="N47" s="10"/>
      <c r="O47" s="10"/>
      <c r="P47" s="10"/>
    </row>
    <row r="48" spans="2:16" x14ac:dyDescent="0.25">
      <c r="B48" s="6"/>
      <c r="C48" s="4"/>
      <c r="D48" s="4"/>
      <c r="E48" s="4"/>
      <c r="F48" s="4"/>
      <c r="G48" s="10"/>
      <c r="I48" s="1" t="s">
        <v>39</v>
      </c>
      <c r="J48" s="10"/>
      <c r="K48" s="10"/>
      <c r="L48" s="21"/>
      <c r="M48" s="22"/>
      <c r="N48" s="10"/>
      <c r="O48" s="10"/>
      <c r="P48" s="10"/>
    </row>
    <row r="49" spans="2:18" x14ac:dyDescent="0.25">
      <c r="B49" s="6"/>
      <c r="C49" s="4"/>
      <c r="D49" s="4"/>
      <c r="E49" s="4"/>
      <c r="F49" s="4"/>
      <c r="G49" s="10"/>
      <c r="I49" s="1"/>
    </row>
    <row r="50" spans="2:18" ht="23.25" x14ac:dyDescent="0.35">
      <c r="B50" s="6"/>
      <c r="C50" s="4"/>
      <c r="D50" s="4"/>
      <c r="E50" s="4"/>
      <c r="F50" s="4"/>
      <c r="G50" s="10"/>
      <c r="I50" s="2" t="s">
        <v>29</v>
      </c>
    </row>
    <row r="51" spans="2:18" x14ac:dyDescent="0.25">
      <c r="B51" s="6"/>
      <c r="C51" s="4"/>
      <c r="D51" s="4"/>
      <c r="E51" s="4"/>
      <c r="F51" s="4"/>
      <c r="G51" s="10"/>
      <c r="I51" s="1" t="s">
        <v>9</v>
      </c>
      <c r="J51" s="1" t="s">
        <v>21</v>
      </c>
      <c r="K51" s="1" t="s">
        <v>48</v>
      </c>
      <c r="L51" s="1" t="s">
        <v>49</v>
      </c>
      <c r="M51" s="1" t="s">
        <v>24</v>
      </c>
      <c r="N51" s="1" t="s">
        <v>50</v>
      </c>
      <c r="O51" s="1" t="s">
        <v>27</v>
      </c>
      <c r="P51" s="1" t="s">
        <v>25</v>
      </c>
      <c r="Q51" s="1" t="s">
        <v>28</v>
      </c>
      <c r="R51" s="1" t="s">
        <v>26</v>
      </c>
    </row>
    <row r="52" spans="2:18" x14ac:dyDescent="0.25">
      <c r="B52" s="6"/>
      <c r="C52" s="4"/>
      <c r="D52" s="4"/>
      <c r="E52" s="4"/>
      <c r="F52" s="4"/>
      <c r="G52" s="10"/>
      <c r="I52" s="6"/>
      <c r="J52" s="4"/>
      <c r="K52" s="15" t="str">
        <f>IF(_2023_12\Expected_Income[[#This Row],[Source]]="Advantage",$J$47,IF(_2023_12\Expected_Income[[#This Row],[Source]]="Saline", $J$48, " "))</f>
        <v xml:space="preserve"> </v>
      </c>
      <c r="L52" s="15" t="str">
        <f>IF(_2023_12\Expected_Income[[#This Row],[Source]]="Advantage",$K$47,IF(_2023_12\Expected_Income[[#This Row],[Source]]="Saline", $K$48, " "))</f>
        <v xml:space="preserve"> </v>
      </c>
      <c r="M52" s="15" t="str">
        <f>IF(_2023_12\Expected_Income[[#This Row],[Source]]="Advantage",(_2023_12\Expected_Income[[#This Row],[Salary Income]]+_2023_12\Expected_Income[[#This Row],[Additional Taxable Income]])*$L$47,IF(_2023_12\Expected_Income[[#This Row],[Source]]="Saline", (_2023_12\Expected_Income[[#This Row],[Salary Income]]+_2023_12\Expected_Income[[#This Row],[Additional Taxable Income]])*$L$48, " "))</f>
        <v xml:space="preserve"> </v>
      </c>
      <c r="N52" s="15" t="str">
        <f>IF(_2023_12\Expected_Income[[#This Row],[Source]]="Advantage",_2023_12\Expected_Income[[#This Row],[Salary Income]]*$M$47,IF(_2023_12\Expected_Income[[#This Row],[Source]]="Saline", _2023_12\Expected_Income[[#This Row],[Salary Income]]*$M$48, " "))</f>
        <v xml:space="preserve"> </v>
      </c>
      <c r="O52" s="16" t="str">
        <f>IF(_2023_12\Expected_Income[[#This Row],[Source]]="Advantage",$N$47,IF(_2023_12\Expected_Income[[#This Row],[Source]]="Saline", $N$48, " "))</f>
        <v xml:space="preserve"> </v>
      </c>
      <c r="P52" s="15" t="str">
        <f>IF(_2023_12\Expected_Income[[#This Row],[Source]]="Advantage",$P$47,IF(_2023_12\Expected_Income[[#This Row],[Source]]="Saline", $P$48, " "))</f>
        <v xml:space="preserve"> </v>
      </c>
      <c r="Q52" s="15" t="str">
        <f>IF(_2023_12\Expected_Income[[#This Row],[Source]]="Advantage",$O$47,IF(_2023_12\Expected_Income[[#This Row],[Source]]="Saline", $O$48, " "))</f>
        <v xml:space="preserve"> </v>
      </c>
      <c r="R52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53" spans="2:18" x14ac:dyDescent="0.25">
      <c r="B53" s="6"/>
      <c r="C53" s="4"/>
      <c r="D53" s="4"/>
      <c r="E53" s="4"/>
      <c r="F53" s="4"/>
      <c r="G53" s="10"/>
      <c r="I53" s="6"/>
      <c r="J53" s="4"/>
      <c r="K53" s="15" t="str">
        <f>IF(_2023_12\Expected_Income[[#This Row],[Source]]="Advantage",$J$47,IF(_2023_12\Expected_Income[[#This Row],[Source]]="Saline", $J$48, " "))</f>
        <v xml:space="preserve"> </v>
      </c>
      <c r="L53" s="15" t="str">
        <f>IF(_2023_12\Expected_Income[[#This Row],[Source]]="Advantage",$K$47,IF(_2023_12\Expected_Income[[#This Row],[Source]]="Saline", $K$48, " "))</f>
        <v xml:space="preserve"> </v>
      </c>
      <c r="M53" s="15" t="str">
        <f>IF(_2023_12\Expected_Income[[#This Row],[Source]]="Advantage",(_2023_12\Expected_Income[[#This Row],[Salary Income]]+_2023_12\Expected_Income[[#This Row],[Additional Taxable Income]])*$L$47,IF(_2023_12\Expected_Income[[#This Row],[Source]]="Saline", (_2023_12\Expected_Income[[#This Row],[Salary Income]]+_2023_12\Expected_Income[[#This Row],[Additional Taxable Income]])*$L$48, " "))</f>
        <v xml:space="preserve"> </v>
      </c>
      <c r="N53" s="15" t="str">
        <f>IF(_2023_12\Expected_Income[[#This Row],[Source]]="Advantage",_2023_12\Expected_Income[[#This Row],[Salary Income]]*$M$47,IF(_2023_12\Expected_Income[[#This Row],[Source]]="Saline", _2023_12\Expected_Income[[#This Row],[Salary Income]]*$M$48, " "))</f>
        <v xml:space="preserve"> </v>
      </c>
      <c r="O53" s="16" t="str">
        <f>IF(_2023_12\Expected_Income[[#This Row],[Source]]="Advantage",$N$47,IF(_2023_12\Expected_Income[[#This Row],[Source]]="Saline", $N$48, " "))</f>
        <v xml:space="preserve"> </v>
      </c>
      <c r="P53" s="15" t="str">
        <f>IF(_2023_12\Expected_Income[[#This Row],[Source]]="Advantage",$P$47,IF(_2023_12\Expected_Income[[#This Row],[Source]]="Saline", $P$48, " "))</f>
        <v xml:space="preserve"> </v>
      </c>
      <c r="Q53" s="15" t="str">
        <f>IF(_2023_12\Expected_Income[[#This Row],[Source]]="Advantage",$O$47,IF(_2023_12\Expected_Income[[#This Row],[Source]]="Saline", $O$48, " "))</f>
        <v xml:space="preserve"> </v>
      </c>
      <c r="R53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54" spans="2:18" x14ac:dyDescent="0.25">
      <c r="B54" s="6"/>
      <c r="C54" s="4"/>
      <c r="D54" s="4"/>
      <c r="E54" s="4"/>
      <c r="F54" s="4"/>
      <c r="G54" s="10"/>
      <c r="I54" s="6"/>
      <c r="J54" s="4"/>
      <c r="K54" s="15" t="str">
        <f>IF(_2023_12\Expected_Income[[#This Row],[Source]]="Advantage",$J$47,IF(_2023_12\Expected_Income[[#This Row],[Source]]="Saline", $J$48, " "))</f>
        <v xml:space="preserve"> </v>
      </c>
      <c r="L54" s="15" t="str">
        <f>IF(_2023_12\Expected_Income[[#This Row],[Source]]="Advantage",$K$47,IF(_2023_12\Expected_Income[[#This Row],[Source]]="Saline", $K$48, " "))</f>
        <v xml:space="preserve"> </v>
      </c>
      <c r="M54" s="15" t="str">
        <f>IF(_2023_12\Expected_Income[[#This Row],[Source]]="Advantage",(_2023_12\Expected_Income[[#This Row],[Salary Income]]+_2023_12\Expected_Income[[#This Row],[Additional Taxable Income]])*$L$47,IF(_2023_12\Expected_Income[[#This Row],[Source]]="Saline", (_2023_12\Expected_Income[[#This Row],[Salary Income]]+_2023_12\Expected_Income[[#This Row],[Additional Taxable Income]])*$L$48, " "))</f>
        <v xml:space="preserve"> </v>
      </c>
      <c r="N54" s="15" t="str">
        <f>IF(_2023_12\Expected_Income[[#This Row],[Source]]="Advantage",_2023_12\Expected_Income[[#This Row],[Salary Income]]*$M$47,IF(_2023_12\Expected_Income[[#This Row],[Source]]="Saline", _2023_12\Expected_Income[[#This Row],[Salary Income]]*$M$48, " "))</f>
        <v xml:space="preserve"> </v>
      </c>
      <c r="O54" s="16" t="str">
        <f>IF(_2023_12\Expected_Income[[#This Row],[Source]]="Advantage",$N$47,IF(_2023_12\Expected_Income[[#This Row],[Source]]="Saline", $N$48, " "))</f>
        <v xml:space="preserve"> </v>
      </c>
      <c r="P54" s="15" t="str">
        <f>IF(_2023_12\Expected_Income[[#This Row],[Source]]="Advantage",$P$47,IF(_2023_12\Expected_Income[[#This Row],[Source]]="Saline", $P$48, " "))</f>
        <v xml:space="preserve"> </v>
      </c>
      <c r="Q54" s="15" t="str">
        <f>IF(_2023_12\Expected_Income[[#This Row],[Source]]="Advantage",$O$47,IF(_2023_12\Expected_Income[[#This Row],[Source]]="Saline", $O$48, " "))</f>
        <v xml:space="preserve"> </v>
      </c>
      <c r="R54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55" spans="2:18" x14ac:dyDescent="0.25">
      <c r="B55" s="6"/>
      <c r="C55" s="4"/>
      <c r="D55" s="4"/>
      <c r="E55" s="4"/>
      <c r="F55" s="4"/>
      <c r="G55" s="10"/>
      <c r="I55" s="6"/>
      <c r="J55" s="4"/>
      <c r="K55" s="15" t="str">
        <f>IF(_2023_12\Expected_Income[[#This Row],[Source]]="Advantage",$J$47,IF(_2023_12\Expected_Income[[#This Row],[Source]]="Saline", $J$48, " "))</f>
        <v xml:space="preserve"> </v>
      </c>
      <c r="L55" s="15" t="str">
        <f>IF(_2023_12\Expected_Income[[#This Row],[Source]]="Advantage",$K$47,IF(_2023_12\Expected_Income[[#This Row],[Source]]="Saline", $K$48, " "))</f>
        <v xml:space="preserve"> </v>
      </c>
      <c r="M55" s="15" t="str">
        <f>IF(_2023_12\Expected_Income[[#This Row],[Source]]="Advantage",(_2023_12\Expected_Income[[#This Row],[Salary Income]]+_2023_12\Expected_Income[[#This Row],[Additional Taxable Income]])*$L$47,IF(_2023_12\Expected_Income[[#This Row],[Source]]="Saline", (_2023_12\Expected_Income[[#This Row],[Salary Income]]+_2023_12\Expected_Income[[#This Row],[Additional Taxable Income]])*$L$48, " "))</f>
        <v xml:space="preserve"> </v>
      </c>
      <c r="N55" s="15" t="str">
        <f>IF(_2023_12\Expected_Income[[#This Row],[Source]]="Advantage",_2023_12\Expected_Income[[#This Row],[Salary Income]]*$M$47,IF(_2023_12\Expected_Income[[#This Row],[Source]]="Saline", _2023_12\Expected_Income[[#This Row],[Salary Income]]*$M$48, " "))</f>
        <v xml:space="preserve"> </v>
      </c>
      <c r="O55" s="16" t="str">
        <f>IF(_2023_12\Expected_Income[[#This Row],[Source]]="Advantage",$N$47,IF(_2023_12\Expected_Income[[#This Row],[Source]]="Saline", $N$48, " "))</f>
        <v xml:space="preserve"> </v>
      </c>
      <c r="P55" s="15" t="str">
        <f>IF(_2023_12\Expected_Income[[#This Row],[Source]]="Advantage",$P$47,IF(_2023_12\Expected_Income[[#This Row],[Source]]="Saline", $P$48, " "))</f>
        <v xml:space="preserve"> </v>
      </c>
      <c r="Q55" s="15" t="str">
        <f>IF(_2023_12\Expected_Income[[#This Row],[Source]]="Advantage",$O$47,IF(_2023_12\Expected_Income[[#This Row],[Source]]="Saline", $O$48, " "))</f>
        <v xml:space="preserve"> </v>
      </c>
      <c r="R55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56" spans="2:18" x14ac:dyDescent="0.25">
      <c r="B56" s="6"/>
      <c r="C56" s="4"/>
      <c r="D56" s="4"/>
      <c r="E56" s="4"/>
      <c r="F56" s="4"/>
      <c r="G56" s="10"/>
      <c r="I56" s="6"/>
      <c r="J56" s="4"/>
      <c r="K56" s="15" t="str">
        <f>IF(_2023_12\Expected_Income[[#This Row],[Source]]="Advantage",$J$47,IF(_2023_12\Expected_Income[[#This Row],[Source]]="Saline", $J$48, " "))</f>
        <v xml:space="preserve"> </v>
      </c>
      <c r="L56" s="15" t="str">
        <f>IF(_2023_12\Expected_Income[[#This Row],[Source]]="Advantage",$K$47,IF(_2023_12\Expected_Income[[#This Row],[Source]]="Saline", $K$48, " "))</f>
        <v xml:space="preserve"> </v>
      </c>
      <c r="M56" s="15" t="str">
        <f>IF(_2023_12\Expected_Income[[#This Row],[Source]]="Advantage",(_2023_12\Expected_Income[[#This Row],[Salary Income]]+_2023_12\Expected_Income[[#This Row],[Additional Taxable Income]])*$L$47,IF(_2023_12\Expected_Income[[#This Row],[Source]]="Saline", (_2023_12\Expected_Income[[#This Row],[Salary Income]]+_2023_12\Expected_Income[[#This Row],[Additional Taxable Income]])*$L$48, " "))</f>
        <v xml:space="preserve"> </v>
      </c>
      <c r="N56" s="15" t="str">
        <f>IF(_2023_12\Expected_Income[[#This Row],[Source]]="Advantage",_2023_12\Expected_Income[[#This Row],[Salary Income]]*$M$47,IF(_2023_12\Expected_Income[[#This Row],[Source]]="Saline", _2023_12\Expected_Income[[#This Row],[Salary Income]]*$M$48, " "))</f>
        <v xml:space="preserve"> </v>
      </c>
      <c r="O56" s="16" t="str">
        <f>IF(_2023_12\Expected_Income[[#This Row],[Source]]="Advantage",$N$47,IF(_2023_12\Expected_Income[[#This Row],[Source]]="Saline", $N$48, " "))</f>
        <v xml:space="preserve"> </v>
      </c>
      <c r="P56" s="15" t="str">
        <f>IF(_2023_12\Expected_Income[[#This Row],[Source]]="Advantage",$P$47,IF(_2023_12\Expected_Income[[#This Row],[Source]]="Saline", $P$48, " "))</f>
        <v xml:space="preserve"> </v>
      </c>
      <c r="Q56" s="15" t="str">
        <f>IF(_2023_12\Expected_Income[[#This Row],[Source]]="Advantage",$O$47,IF(_2023_12\Expected_Income[[#This Row],[Source]]="Saline", $O$48, " "))</f>
        <v xml:space="preserve"> </v>
      </c>
      <c r="R56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57" spans="2:18" x14ac:dyDescent="0.25">
      <c r="B57" s="6"/>
      <c r="C57" s="4"/>
      <c r="D57" s="4"/>
      <c r="E57" s="4"/>
      <c r="F57" s="4"/>
      <c r="G57" s="10"/>
      <c r="I57" s="6"/>
      <c r="J57" s="4"/>
      <c r="K57" s="15" t="str">
        <f>IF(_2023_12\Expected_Income[[#This Row],[Source]]="Advantage",$J$47,IF(_2023_12\Expected_Income[[#This Row],[Source]]="Saline", $J$48, " "))</f>
        <v xml:space="preserve"> </v>
      </c>
      <c r="L57" s="15" t="str">
        <f>IF(_2023_12\Expected_Income[[#This Row],[Source]]="Advantage",$K$47,IF(_2023_12\Expected_Income[[#This Row],[Source]]="Saline", $K$48, " "))</f>
        <v xml:space="preserve"> </v>
      </c>
      <c r="M57" s="15" t="str">
        <f>IF(_2023_12\Expected_Income[[#This Row],[Source]]="Advantage",(_2023_12\Expected_Income[[#This Row],[Salary Income]]+_2023_12\Expected_Income[[#This Row],[Additional Taxable Income]])*$L$47,IF(_2023_12\Expected_Income[[#This Row],[Source]]="Saline", (_2023_12\Expected_Income[[#This Row],[Salary Income]]+_2023_12\Expected_Income[[#This Row],[Additional Taxable Income]])*$L$48, " "))</f>
        <v xml:space="preserve"> </v>
      </c>
      <c r="N57" s="15" t="str">
        <f>IF(_2023_12\Expected_Income[[#This Row],[Source]]="Advantage",_2023_12\Expected_Income[[#This Row],[Salary Income]]*$M$47,IF(_2023_12\Expected_Income[[#This Row],[Source]]="Saline", _2023_12\Expected_Income[[#This Row],[Salary Income]]*$M$48, " "))</f>
        <v xml:space="preserve"> </v>
      </c>
      <c r="O57" s="16" t="str">
        <f>IF(_2023_12\Expected_Income[[#This Row],[Source]]="Advantage",$N$47,IF(_2023_12\Expected_Income[[#This Row],[Source]]="Saline", $N$48, " "))</f>
        <v xml:space="preserve"> </v>
      </c>
      <c r="P57" s="15" t="str">
        <f>IF(_2023_12\Expected_Income[[#This Row],[Source]]="Advantage",$P$47,IF(_2023_12\Expected_Income[[#This Row],[Source]]="Saline", $P$48, " "))</f>
        <v xml:space="preserve"> </v>
      </c>
      <c r="Q57" s="15" t="str">
        <f>IF(_2023_12\Expected_Income[[#This Row],[Source]]="Advantage",$O$47,IF(_2023_12\Expected_Income[[#This Row],[Source]]="Saline", $O$48, " "))</f>
        <v xml:space="preserve"> </v>
      </c>
      <c r="R57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58" spans="2:18" x14ac:dyDescent="0.25">
      <c r="B58" s="6"/>
      <c r="C58" s="4"/>
      <c r="D58" s="4"/>
      <c r="E58" s="4"/>
      <c r="F58" s="4"/>
      <c r="G58" s="10"/>
      <c r="I58" s="6"/>
      <c r="J58" s="4"/>
      <c r="K58" s="15" t="str">
        <f>IF(_2023_12\Expected_Income[[#This Row],[Source]]="Advantage",$J$47,IF(_2023_12\Expected_Income[[#This Row],[Source]]="Saline", $J$48, " "))</f>
        <v xml:space="preserve"> </v>
      </c>
      <c r="L58" s="15" t="str">
        <f>IF(_2023_12\Expected_Income[[#This Row],[Source]]="Advantage",$K$47,IF(_2023_12\Expected_Income[[#This Row],[Source]]="Saline", $K$48, " "))</f>
        <v xml:space="preserve"> </v>
      </c>
      <c r="M58" s="15" t="str">
        <f>IF(_2023_12\Expected_Income[[#This Row],[Source]]="Advantage",(_2023_12\Expected_Income[[#This Row],[Salary Income]]+_2023_12\Expected_Income[[#This Row],[Additional Taxable Income]])*$L$47,IF(_2023_12\Expected_Income[[#This Row],[Source]]="Saline", (_2023_12\Expected_Income[[#This Row],[Salary Income]]+_2023_12\Expected_Income[[#This Row],[Additional Taxable Income]])*$L$48, " "))</f>
        <v xml:space="preserve"> </v>
      </c>
      <c r="N58" s="15" t="str">
        <f>IF(_2023_12\Expected_Income[[#This Row],[Source]]="Advantage",_2023_12\Expected_Income[[#This Row],[Salary Income]]*$M$47,IF(_2023_12\Expected_Income[[#This Row],[Source]]="Saline", _2023_12\Expected_Income[[#This Row],[Salary Income]]*$M$48, " "))</f>
        <v xml:space="preserve"> </v>
      </c>
      <c r="O58" s="16" t="str">
        <f>IF(_2023_12\Expected_Income[[#This Row],[Source]]="Advantage",$N$47,IF(_2023_12\Expected_Income[[#This Row],[Source]]="Saline", $N$48, " "))</f>
        <v xml:space="preserve"> </v>
      </c>
      <c r="P58" s="15" t="str">
        <f>IF(_2023_12\Expected_Income[[#This Row],[Source]]="Advantage",$P$47,IF(_2023_12\Expected_Income[[#This Row],[Source]]="Saline", $P$48, " "))</f>
        <v xml:space="preserve"> </v>
      </c>
      <c r="Q58" s="15" t="str">
        <f>IF(_2023_12\Expected_Income[[#This Row],[Source]]="Advantage",$O$47,IF(_2023_12\Expected_Income[[#This Row],[Source]]="Saline", $O$48, " "))</f>
        <v xml:space="preserve"> </v>
      </c>
      <c r="R58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59" spans="2:18" x14ac:dyDescent="0.25">
      <c r="B59" s="6"/>
      <c r="C59" s="4"/>
      <c r="D59" s="4"/>
      <c r="E59" s="4"/>
      <c r="F59" s="4"/>
      <c r="G59" s="10"/>
      <c r="I59" s="6"/>
      <c r="J59" s="4"/>
      <c r="K59" s="15" t="str">
        <f>IF(_2023_12\Expected_Income[[#This Row],[Source]]="Advantage",$J$47,IF(_2023_12\Expected_Income[[#This Row],[Source]]="Saline", $J$48, " "))</f>
        <v xml:space="preserve"> </v>
      </c>
      <c r="L59" s="15" t="str">
        <f>IF(_2023_12\Expected_Income[[#This Row],[Source]]="Advantage",$K$47,IF(_2023_12\Expected_Income[[#This Row],[Source]]="Saline", $K$48, " "))</f>
        <v xml:space="preserve"> </v>
      </c>
      <c r="M59" s="15" t="str">
        <f>IF(_2023_12\Expected_Income[[#This Row],[Source]]="Advantage",(_2023_12\Expected_Income[[#This Row],[Salary Income]]+_2023_12\Expected_Income[[#This Row],[Additional Taxable Income]])*$L$47,IF(_2023_12\Expected_Income[[#This Row],[Source]]="Saline", (_2023_12\Expected_Income[[#This Row],[Salary Income]]+_2023_12\Expected_Income[[#This Row],[Additional Taxable Income]])*$L$48, " "))</f>
        <v xml:space="preserve"> </v>
      </c>
      <c r="N59" s="15" t="str">
        <f>IF(_2023_12\Expected_Income[[#This Row],[Source]]="Advantage",_2023_12\Expected_Income[[#This Row],[Salary Income]]*$M$47,IF(_2023_12\Expected_Income[[#This Row],[Source]]="Saline", _2023_12\Expected_Income[[#This Row],[Salary Income]]*$M$48, " "))</f>
        <v xml:space="preserve"> </v>
      </c>
      <c r="O59" s="16" t="str">
        <f>IF(_2023_12\Expected_Income[[#This Row],[Source]]="Advantage",$N$47,IF(_2023_12\Expected_Income[[#This Row],[Source]]="Saline", $N$48, " "))</f>
        <v xml:space="preserve"> </v>
      </c>
      <c r="P59" s="15" t="str">
        <f>IF(_2023_12\Expected_Income[[#This Row],[Source]]="Advantage",$P$47,IF(_2023_12\Expected_Income[[#This Row],[Source]]="Saline", $P$48, " "))</f>
        <v xml:space="preserve"> </v>
      </c>
      <c r="Q59" s="15" t="str">
        <f>IF(_2023_12\Expected_Income[[#This Row],[Source]]="Advantage",$O$47,IF(_2023_12\Expected_Income[[#This Row],[Source]]="Saline", $O$48, " "))</f>
        <v xml:space="preserve"> </v>
      </c>
      <c r="R59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60" spans="2:18" x14ac:dyDescent="0.25">
      <c r="B60" s="6"/>
      <c r="C60" s="4"/>
      <c r="D60" s="4"/>
      <c r="E60" s="4"/>
      <c r="F60" s="4"/>
      <c r="G60" s="10"/>
      <c r="I60" s="8"/>
      <c r="J60" s="7"/>
      <c r="K60" s="17" t="str">
        <f>IF(_2023_12\Expected_Income[[#This Row],[Source]]="Advantage",$J$47,IF(_2023_12\Expected_Income[[#This Row],[Source]]="Saline", $J$48, " "))</f>
        <v xml:space="preserve"> </v>
      </c>
      <c r="L60" s="17" t="str">
        <f>IF(_2023_12\Expected_Income[[#This Row],[Source]]="Advantage",$K$47,IF(_2023_12\Expected_Income[[#This Row],[Source]]="Saline", $K$48, " "))</f>
        <v xml:space="preserve"> </v>
      </c>
      <c r="M60" s="17" t="str">
        <f>IF(_2023_12\Expected_Income[[#This Row],[Source]]="Advantage",(_2023_12\Expected_Income[[#This Row],[Salary Income]]+_2023_12\Expected_Income[[#This Row],[Additional Taxable Income]])*$L$47,IF(_2023_12\Expected_Income[[#This Row],[Source]]="Saline", (_2023_12\Expected_Income[[#This Row],[Salary Income]]+_2023_12\Expected_Income[[#This Row],[Additional Taxable Income]])*$L$48, " "))</f>
        <v xml:space="preserve"> </v>
      </c>
      <c r="N60" s="17" t="str">
        <f>IF(_2023_12\Expected_Income[[#This Row],[Source]]="Advantage",_2023_12\Expected_Income[[#This Row],[Salary Income]]*$M$47,IF(_2023_12\Expected_Income[[#This Row],[Source]]="Saline", _2023_12\Expected_Income[[#This Row],[Salary Income]]*$M$48, " "))</f>
        <v xml:space="preserve"> </v>
      </c>
      <c r="O60" s="20" t="str">
        <f>IF(_2023_12\Expected_Income[[#This Row],[Source]]="Advantage",$N$47,IF(_2023_12\Expected_Income[[#This Row],[Source]]="Saline", $N$48, " "))</f>
        <v xml:space="preserve"> </v>
      </c>
      <c r="P60" s="17" t="str">
        <f>IF(_2023_12\Expected_Income[[#This Row],[Source]]="Advantage",$P$47,IF(_2023_12\Expected_Income[[#This Row],[Source]]="Saline", $P$48, " "))</f>
        <v xml:space="preserve"> </v>
      </c>
      <c r="Q60" s="17" t="str">
        <f>IF(_2023_12\Expected_Income[[#This Row],[Source]]="Advantage",$O$47,IF(_2023_12\Expected_Income[[#This Row],[Source]]="Saline", $O$48, " "))</f>
        <v xml:space="preserve"> </v>
      </c>
      <c r="R60" s="17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61" spans="2:18" x14ac:dyDescent="0.25">
      <c r="B61" s="6"/>
      <c r="C61" s="4"/>
      <c r="D61" s="4"/>
      <c r="E61" s="4"/>
      <c r="F61" s="4"/>
      <c r="G61" s="10"/>
    </row>
    <row r="62" spans="2:18" ht="23.25" x14ac:dyDescent="0.35">
      <c r="B62" s="6"/>
      <c r="C62" s="4"/>
      <c r="D62" s="4"/>
      <c r="E62" s="4"/>
      <c r="F62" s="4"/>
      <c r="G62" s="10"/>
      <c r="I62" s="2" t="s">
        <v>30</v>
      </c>
    </row>
    <row r="63" spans="2:18" x14ac:dyDescent="0.25">
      <c r="B63" s="6"/>
      <c r="C63" s="4"/>
      <c r="D63" s="4"/>
      <c r="E63" s="4"/>
      <c r="F63" s="4"/>
      <c r="G63" s="10"/>
      <c r="I63" s="1" t="s">
        <v>9</v>
      </c>
      <c r="J63" s="1" t="s">
        <v>21</v>
      </c>
      <c r="K63" s="1" t="s">
        <v>48</v>
      </c>
      <c r="L63" s="1" t="s">
        <v>49</v>
      </c>
      <c r="M63" s="1" t="s">
        <v>24</v>
      </c>
      <c r="N63" s="1" t="s">
        <v>50</v>
      </c>
      <c r="O63" s="1" t="s">
        <v>27</v>
      </c>
      <c r="P63" s="1" t="s">
        <v>25</v>
      </c>
      <c r="Q63" s="1" t="s">
        <v>28</v>
      </c>
      <c r="R63" s="1" t="s">
        <v>26</v>
      </c>
    </row>
    <row r="64" spans="2:18" x14ac:dyDescent="0.25">
      <c r="B64" s="6"/>
      <c r="C64" s="4"/>
      <c r="D64" s="4"/>
      <c r="E64" s="4"/>
      <c r="F64" s="4"/>
      <c r="G64" s="10"/>
      <c r="I64" s="6"/>
      <c r="J64" s="4"/>
      <c r="K64" s="5"/>
      <c r="L64" s="5"/>
      <c r="M64" s="5"/>
      <c r="N64" s="5"/>
      <c r="O64" s="10"/>
      <c r="P64" s="5"/>
      <c r="Q64" s="5"/>
      <c r="R64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65" spans="2:18" x14ac:dyDescent="0.25">
      <c r="B65" s="6"/>
      <c r="C65" s="4"/>
      <c r="D65" s="4"/>
      <c r="E65" s="4"/>
      <c r="F65" s="4"/>
      <c r="G65" s="10"/>
      <c r="I65" s="6"/>
      <c r="J65" s="4"/>
      <c r="K65" s="5"/>
      <c r="L65" s="5"/>
      <c r="M65" s="5"/>
      <c r="N65" s="5"/>
      <c r="O65" s="10"/>
      <c r="P65" s="5"/>
      <c r="Q65" s="5"/>
      <c r="R65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66" spans="2:18" x14ac:dyDescent="0.25">
      <c r="B66" s="6"/>
      <c r="C66" s="4"/>
      <c r="D66" s="4"/>
      <c r="E66" s="4"/>
      <c r="F66" s="4"/>
      <c r="G66" s="10"/>
      <c r="I66" s="6"/>
      <c r="J66" s="4"/>
      <c r="K66" s="5"/>
      <c r="L66" s="5"/>
      <c r="M66" s="5"/>
      <c r="N66" s="5"/>
      <c r="O66" s="10"/>
      <c r="P66" s="5"/>
      <c r="Q66" s="5"/>
      <c r="R66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67" spans="2:18" x14ac:dyDescent="0.25">
      <c r="B67" s="6"/>
      <c r="C67" s="4"/>
      <c r="D67" s="4"/>
      <c r="E67" s="4"/>
      <c r="F67" s="4"/>
      <c r="G67" s="10"/>
      <c r="I67" s="6"/>
      <c r="J67" s="4"/>
      <c r="K67" s="5"/>
      <c r="L67" s="5"/>
      <c r="M67" s="5"/>
      <c r="N67" s="5"/>
      <c r="O67" s="10"/>
      <c r="P67" s="5"/>
      <c r="Q67" s="5"/>
      <c r="R67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68" spans="2:18" x14ac:dyDescent="0.25">
      <c r="B68" s="6"/>
      <c r="C68" s="4"/>
      <c r="D68" s="4"/>
      <c r="E68" s="4"/>
      <c r="F68" s="4"/>
      <c r="G68" s="10"/>
      <c r="I68" s="6"/>
      <c r="J68" s="4"/>
      <c r="K68" s="5"/>
      <c r="L68" s="5"/>
      <c r="M68" s="5"/>
      <c r="N68" s="5"/>
      <c r="O68" s="10"/>
      <c r="P68" s="5"/>
      <c r="Q68" s="5"/>
      <c r="R68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69" spans="2:18" x14ac:dyDescent="0.25">
      <c r="B69" s="6"/>
      <c r="C69" s="4"/>
      <c r="D69" s="4"/>
      <c r="E69" s="4"/>
      <c r="F69" s="4"/>
      <c r="G69" s="10"/>
      <c r="I69" s="6"/>
      <c r="J69" s="4"/>
      <c r="K69" s="5"/>
      <c r="L69" s="5"/>
      <c r="M69" s="5"/>
      <c r="N69" s="5"/>
      <c r="O69" s="10"/>
      <c r="P69" s="5"/>
      <c r="Q69" s="5"/>
      <c r="R69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0" spans="2:18" x14ac:dyDescent="0.25">
      <c r="B70" s="6"/>
      <c r="C70" s="4"/>
      <c r="D70" s="4"/>
      <c r="E70" s="4"/>
      <c r="F70" s="4"/>
      <c r="G70" s="10"/>
      <c r="I70" s="6"/>
      <c r="J70" s="4"/>
      <c r="K70" s="5"/>
      <c r="L70" s="5"/>
      <c r="M70" s="5"/>
      <c r="N70" s="5"/>
      <c r="O70" s="10"/>
      <c r="P70" s="5"/>
      <c r="Q70" s="5"/>
      <c r="R70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1" spans="2:18" x14ac:dyDescent="0.25">
      <c r="B71" s="6"/>
      <c r="C71" s="4"/>
      <c r="D71" s="4"/>
      <c r="E71" s="4"/>
      <c r="F71" s="4"/>
      <c r="G71" s="10"/>
      <c r="I71" s="6"/>
      <c r="J71" s="4"/>
      <c r="K71" s="5"/>
      <c r="L71" s="5"/>
      <c r="M71" s="5"/>
      <c r="N71" s="5"/>
      <c r="O71" s="10"/>
      <c r="P71" s="5"/>
      <c r="Q71" s="5"/>
      <c r="R71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2" spans="2:18" x14ac:dyDescent="0.25">
      <c r="B72" s="6"/>
      <c r="C72" s="4"/>
      <c r="D72" s="4"/>
      <c r="E72" s="4"/>
      <c r="F72" s="4"/>
      <c r="G72" s="10"/>
      <c r="I72" s="8"/>
      <c r="J72" s="7"/>
      <c r="K72" s="9"/>
      <c r="L72" s="9"/>
      <c r="M72" s="9"/>
      <c r="N72" s="9"/>
      <c r="O72" s="12"/>
      <c r="P72" s="9"/>
      <c r="Q72" s="9"/>
      <c r="R72" s="17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3" spans="2:18" x14ac:dyDescent="0.25">
      <c r="B73" s="6"/>
      <c r="C73" s="4"/>
      <c r="D73" s="4"/>
      <c r="E73" s="4"/>
      <c r="F73" s="4"/>
      <c r="G73" s="10"/>
    </row>
    <row r="74" spans="2:18" x14ac:dyDescent="0.25">
      <c r="B74" s="6"/>
      <c r="C74" s="4"/>
      <c r="D74" s="4"/>
      <c r="E74" s="4"/>
      <c r="F74" s="4"/>
      <c r="G74" s="10"/>
    </row>
    <row r="75" spans="2:18" x14ac:dyDescent="0.25">
      <c r="B75" s="6"/>
      <c r="C75" s="4"/>
      <c r="D75" s="4"/>
      <c r="E75" s="4"/>
      <c r="F75" s="4"/>
      <c r="G75" s="10"/>
    </row>
    <row r="76" spans="2:18" x14ac:dyDescent="0.25">
      <c r="B76" s="6"/>
      <c r="C76" s="4"/>
      <c r="D76" s="4"/>
      <c r="E76" s="4"/>
      <c r="F76" s="4"/>
      <c r="G76" s="10"/>
    </row>
    <row r="77" spans="2:18" x14ac:dyDescent="0.25">
      <c r="B77" s="6"/>
      <c r="C77" s="4"/>
      <c r="D77" s="4"/>
      <c r="E77" s="4"/>
      <c r="F77" s="4"/>
      <c r="G77" s="10"/>
    </row>
    <row r="78" spans="2:18" x14ac:dyDescent="0.25">
      <c r="B78" s="6"/>
      <c r="C78" s="4"/>
      <c r="D78" s="4"/>
      <c r="E78" s="4"/>
      <c r="F78" s="4"/>
      <c r="G78" s="10"/>
    </row>
    <row r="79" spans="2:18" x14ac:dyDescent="0.25">
      <c r="B79" s="6"/>
      <c r="C79" s="4"/>
      <c r="D79" s="4"/>
      <c r="E79" s="4"/>
      <c r="F79" s="4"/>
      <c r="G79" s="10"/>
    </row>
    <row r="80" spans="2:18" x14ac:dyDescent="0.25">
      <c r="B80" s="6"/>
      <c r="C80" s="4"/>
      <c r="D80" s="4"/>
      <c r="E80" s="4"/>
      <c r="F80" s="4"/>
      <c r="G80" s="10"/>
    </row>
    <row r="81" spans="2:7" x14ac:dyDescent="0.25">
      <c r="B81" s="6"/>
      <c r="C81" s="4"/>
      <c r="D81" s="4"/>
      <c r="E81" s="4"/>
      <c r="F81" s="4"/>
      <c r="G81" s="10"/>
    </row>
    <row r="82" spans="2:7" x14ac:dyDescent="0.25">
      <c r="B82" s="6"/>
      <c r="C82" s="4"/>
      <c r="D82" s="4"/>
      <c r="E82" s="4"/>
      <c r="F82" s="4"/>
      <c r="G82" s="10"/>
    </row>
    <row r="83" spans="2:7" x14ac:dyDescent="0.25">
      <c r="B83" s="6"/>
      <c r="C83" s="4"/>
      <c r="D83" s="4"/>
      <c r="E83" s="4"/>
      <c r="F83" s="4"/>
      <c r="G83" s="10"/>
    </row>
    <row r="84" spans="2:7" x14ac:dyDescent="0.25">
      <c r="B84" s="6"/>
      <c r="C84" s="4"/>
      <c r="D84" s="4"/>
      <c r="E84" s="4"/>
      <c r="F84" s="4"/>
      <c r="G84" s="10"/>
    </row>
    <row r="85" spans="2:7" x14ac:dyDescent="0.25">
      <c r="B85" s="6"/>
      <c r="C85" s="4"/>
      <c r="D85" s="4"/>
      <c r="E85" s="4"/>
      <c r="F85" s="4"/>
      <c r="G85" s="10"/>
    </row>
    <row r="86" spans="2:7" x14ac:dyDescent="0.25">
      <c r="B86" s="6"/>
      <c r="C86" s="4"/>
      <c r="D86" s="4"/>
      <c r="E86" s="4"/>
      <c r="F86" s="4"/>
      <c r="G86" s="10"/>
    </row>
    <row r="87" spans="2:7" x14ac:dyDescent="0.25">
      <c r="B87" s="6"/>
      <c r="C87" s="4"/>
      <c r="D87" s="4"/>
      <c r="E87" s="4"/>
      <c r="F87" s="4"/>
      <c r="G87" s="10"/>
    </row>
    <row r="88" spans="2:7" x14ac:dyDescent="0.25">
      <c r="B88" s="6"/>
      <c r="C88" s="4"/>
      <c r="D88" s="4"/>
      <c r="E88" s="4"/>
      <c r="F88" s="4"/>
      <c r="G88" s="10"/>
    </row>
    <row r="89" spans="2:7" x14ac:dyDescent="0.25">
      <c r="B89" s="6"/>
      <c r="C89" s="4"/>
      <c r="D89" s="4"/>
      <c r="E89" s="4"/>
      <c r="F89" s="4"/>
      <c r="G89" s="10"/>
    </row>
    <row r="90" spans="2:7" x14ac:dyDescent="0.25">
      <c r="B90" s="6"/>
      <c r="C90" s="4"/>
      <c r="D90" s="4"/>
      <c r="E90" s="4"/>
      <c r="F90" s="4"/>
      <c r="G90" s="10"/>
    </row>
    <row r="91" spans="2:7" x14ac:dyDescent="0.25">
      <c r="B91" s="6"/>
      <c r="C91" s="4"/>
      <c r="D91" s="4"/>
      <c r="E91" s="4"/>
      <c r="F91" s="4"/>
      <c r="G91" s="10"/>
    </row>
    <row r="92" spans="2:7" x14ac:dyDescent="0.25">
      <c r="B92" s="6"/>
      <c r="C92" s="4"/>
      <c r="D92" s="4"/>
      <c r="E92" s="4"/>
      <c r="F92" s="4"/>
      <c r="G92" s="10"/>
    </row>
    <row r="93" spans="2:7" x14ac:dyDescent="0.25">
      <c r="B93" s="6"/>
      <c r="C93" s="4"/>
      <c r="D93" s="4"/>
      <c r="E93" s="4"/>
      <c r="F93" s="4"/>
      <c r="G93" s="10"/>
    </row>
    <row r="94" spans="2:7" x14ac:dyDescent="0.25">
      <c r="B94" s="6"/>
      <c r="C94" s="4"/>
      <c r="D94" s="4"/>
      <c r="E94" s="4"/>
      <c r="F94" s="4"/>
      <c r="G94" s="10"/>
    </row>
    <row r="95" spans="2:7" x14ac:dyDescent="0.25">
      <c r="B95" s="6"/>
      <c r="C95" s="4"/>
      <c r="D95" s="4"/>
      <c r="E95" s="4"/>
      <c r="F95" s="4"/>
      <c r="G95" s="10"/>
    </row>
    <row r="96" spans="2:7" x14ac:dyDescent="0.25">
      <c r="B96" s="6"/>
      <c r="C96" s="4"/>
      <c r="D96" s="4"/>
      <c r="E96" s="4"/>
      <c r="F96" s="4"/>
      <c r="G96" s="10"/>
    </row>
    <row r="97" spans="2:7" x14ac:dyDescent="0.25">
      <c r="B97" s="6"/>
      <c r="C97" s="4"/>
      <c r="D97" s="4"/>
      <c r="E97" s="4"/>
      <c r="F97" s="4"/>
      <c r="G97" s="10"/>
    </row>
    <row r="98" spans="2:7" x14ac:dyDescent="0.25">
      <c r="B98" s="6"/>
      <c r="C98" s="4"/>
      <c r="D98" s="4"/>
      <c r="E98" s="4"/>
      <c r="F98" s="4"/>
      <c r="G98" s="10"/>
    </row>
    <row r="99" spans="2:7" x14ac:dyDescent="0.25">
      <c r="B99" s="6"/>
      <c r="C99" s="4"/>
      <c r="D99" s="4"/>
      <c r="E99" s="4"/>
      <c r="F99" s="4"/>
      <c r="G99" s="10"/>
    </row>
    <row r="100" spans="2:7" x14ac:dyDescent="0.25">
      <c r="B100" s="6"/>
      <c r="C100" s="4"/>
      <c r="D100" s="4"/>
      <c r="E100" s="4"/>
      <c r="F100" s="4"/>
      <c r="G100" s="10"/>
    </row>
    <row r="101" spans="2:7" x14ac:dyDescent="0.25">
      <c r="B101" s="6"/>
      <c r="C101" s="4"/>
      <c r="D101" s="4"/>
      <c r="E101" s="4"/>
      <c r="F101" s="4"/>
      <c r="G101" s="10"/>
    </row>
    <row r="102" spans="2:7" x14ac:dyDescent="0.25">
      <c r="B102" s="6"/>
      <c r="C102" s="4"/>
      <c r="D102" s="4"/>
      <c r="E102" s="4"/>
      <c r="F102" s="4"/>
      <c r="G102" s="10"/>
    </row>
    <row r="103" spans="2:7" x14ac:dyDescent="0.25">
      <c r="B103" s="6"/>
      <c r="C103" s="4"/>
      <c r="D103" s="4"/>
      <c r="E103" s="4"/>
      <c r="F103" s="4"/>
      <c r="G103" s="10"/>
    </row>
    <row r="104" spans="2:7" x14ac:dyDescent="0.25">
      <c r="B104" s="6"/>
      <c r="C104" s="4"/>
      <c r="D104" s="4"/>
      <c r="E104" s="4"/>
      <c r="F104" s="4"/>
      <c r="G104" s="10"/>
    </row>
    <row r="105" spans="2:7" x14ac:dyDescent="0.25">
      <c r="B105" s="6"/>
      <c r="C105" s="4"/>
      <c r="D105" s="4"/>
      <c r="E105" s="4"/>
      <c r="F105" s="4"/>
      <c r="G105" s="10"/>
    </row>
    <row r="106" spans="2:7" x14ac:dyDescent="0.25">
      <c r="B106" s="6"/>
      <c r="C106" s="4"/>
      <c r="D106" s="4"/>
      <c r="E106" s="4"/>
      <c r="F106" s="4"/>
      <c r="G106" s="10"/>
    </row>
    <row r="107" spans="2:7" x14ac:dyDescent="0.25">
      <c r="B107" s="6"/>
      <c r="C107" s="4"/>
      <c r="D107" s="4"/>
      <c r="E107" s="4"/>
      <c r="F107" s="4"/>
      <c r="G107" s="10"/>
    </row>
    <row r="108" spans="2:7" x14ac:dyDescent="0.25">
      <c r="B108" s="6"/>
      <c r="C108" s="4"/>
      <c r="D108" s="4"/>
      <c r="E108" s="4"/>
      <c r="F108" s="4"/>
      <c r="G108" s="10"/>
    </row>
    <row r="109" spans="2:7" x14ac:dyDescent="0.25">
      <c r="B109" s="6"/>
      <c r="C109" s="4"/>
      <c r="D109" s="4"/>
      <c r="E109" s="4"/>
      <c r="F109" s="4"/>
      <c r="G109" s="10"/>
    </row>
    <row r="110" spans="2:7" x14ac:dyDescent="0.25">
      <c r="B110" s="6"/>
      <c r="C110" s="4"/>
      <c r="D110" s="4"/>
      <c r="E110" s="4"/>
      <c r="F110" s="4"/>
      <c r="G110" s="10"/>
    </row>
    <row r="111" spans="2:7" x14ac:dyDescent="0.25">
      <c r="B111" s="6"/>
      <c r="C111" s="4"/>
      <c r="D111" s="4"/>
      <c r="E111" s="4"/>
      <c r="F111" s="4"/>
      <c r="G111" s="10"/>
    </row>
    <row r="112" spans="2:7" x14ac:dyDescent="0.25">
      <c r="B112" s="6"/>
      <c r="C112" s="4"/>
      <c r="D112" s="4"/>
      <c r="E112" s="4"/>
      <c r="F112" s="4"/>
      <c r="G112" s="10"/>
    </row>
    <row r="113" spans="2:7" x14ac:dyDescent="0.25">
      <c r="B113" s="6"/>
      <c r="C113" s="4"/>
      <c r="D113" s="4"/>
      <c r="E113" s="4"/>
      <c r="F113" s="4"/>
      <c r="G113" s="10"/>
    </row>
    <row r="114" spans="2:7" x14ac:dyDescent="0.25">
      <c r="B114" s="6"/>
      <c r="C114" s="4"/>
      <c r="D114" s="4"/>
      <c r="E114" s="4"/>
      <c r="F114" s="4"/>
      <c r="G114" s="10"/>
    </row>
    <row r="115" spans="2:7" x14ac:dyDescent="0.25">
      <c r="B115" s="6"/>
      <c r="C115" s="4"/>
      <c r="D115" s="4"/>
      <c r="E115" s="4"/>
      <c r="F115" s="4"/>
      <c r="G115" s="10"/>
    </row>
    <row r="116" spans="2:7" x14ac:dyDescent="0.25">
      <c r="B116" s="6"/>
      <c r="C116" s="4"/>
      <c r="D116" s="4"/>
      <c r="E116" s="4"/>
      <c r="F116" s="4"/>
      <c r="G116" s="10"/>
    </row>
    <row r="117" spans="2:7" x14ac:dyDescent="0.25">
      <c r="B117" s="6"/>
      <c r="C117" s="4"/>
      <c r="D117" s="4"/>
      <c r="E117" s="4"/>
      <c r="F117" s="4"/>
      <c r="G117" s="10"/>
    </row>
    <row r="118" spans="2:7" x14ac:dyDescent="0.25">
      <c r="B118" s="6"/>
      <c r="C118" s="4"/>
      <c r="D118" s="4"/>
      <c r="E118" s="4"/>
      <c r="F118" s="4"/>
      <c r="G118" s="10"/>
    </row>
    <row r="119" spans="2:7" x14ac:dyDescent="0.25">
      <c r="B119" s="6"/>
      <c r="C119" s="4"/>
      <c r="D119" s="4"/>
      <c r="E119" s="4"/>
      <c r="F119" s="4"/>
      <c r="G119" s="10"/>
    </row>
    <row r="120" spans="2:7" x14ac:dyDescent="0.25">
      <c r="B120" s="6"/>
      <c r="C120" s="4"/>
      <c r="D120" s="4"/>
      <c r="E120" s="4"/>
      <c r="F120" s="4"/>
      <c r="G120" s="10"/>
    </row>
  </sheetData>
  <sheetProtection autoFilter="0"/>
  <conditionalFormatting sqref="G55:G120">
    <cfRule type="expression" dxfId="68" priority="14">
      <formula>AND(INDIRECT("_" &amp; SUBSTITUTE($C$2,"-","_") &amp; "\Transactions[@Category]") &lt;&gt; "Savings", INDIRECT("_" &amp; SUBSTITUTE($C$2,"-","_") &amp; "\Transactions[@Type]") = "Credit")</formula>
    </cfRule>
    <cfRule type="expression" dxfId="67" priority="15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G20:G54">
    <cfRule type="expression" dxfId="66" priority="12">
      <formula>AND(INDIRECT("_" &amp; SUBSTITUTE($C$2,"-","_") &amp; "\Transactions[@Category]") &lt;&gt; "Savings", INDIRECT("_" &amp; SUBSTITUTE($C$2,"-","_") &amp; "\Transactions[@Type]") = "Credit")</formula>
    </cfRule>
    <cfRule type="expression" dxfId="65" priority="13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P6:P24">
    <cfRule type="expression" dxfId="64" priority="9">
      <formula>AND(INDIRECT("_" &amp; SUBSTITUTE($C$2,"-","_") &amp; "\Budgets[@Type]")="Saving", INDIRECT("_" &amp; SUBSTITUTE($C$2,"-","_") &amp; "\Budgets[@[Remaining Budget]]")&gt;0)</formula>
    </cfRule>
    <cfRule type="expression" dxfId="63" priority="10">
      <formula>AND(INDIRECT("_" &amp; SUBSTITUTE($C$2,"-","_") &amp; "\Budgets[@Type]")="Saving", INDIRECT("_" &amp; SUBSTITUTE($C$2,"-","_") &amp; "\Budgets[@[Remaining Budget]]")&lt;0)</formula>
    </cfRule>
    <cfRule type="expression" dxfId="62" priority="11">
      <formula>AND(INDIRECT("_" &amp; SUBSTITUTE($C$2,"-","_") &amp; "\Budgets[@Type]")&lt;&gt;"Saving", INDIRECT("_" &amp; SUBSTITUTE($C$2,"-","_") &amp; "\Budgets[@[Remaining Budget]]")&lt;0)</formula>
    </cfRule>
  </conditionalFormatting>
  <conditionalFormatting sqref="E5 E10">
    <cfRule type="expression" dxfId="61" priority="5">
      <formula>E5&lt;0</formula>
    </cfRule>
    <cfRule type="expression" dxfId="60" priority="6">
      <formula>E5&gt;0</formula>
    </cfRule>
  </conditionalFormatting>
  <conditionalFormatting sqref="E6:E9">
    <cfRule type="expression" dxfId="59" priority="7">
      <formula>E6&lt;0</formula>
    </cfRule>
    <cfRule type="expression" dxfId="58" priority="8">
      <formula>E6&gt;0</formula>
    </cfRule>
  </conditionalFormatting>
  <conditionalFormatting sqref="E14">
    <cfRule type="expression" dxfId="57" priority="1">
      <formula>E14&lt;0</formula>
    </cfRule>
    <cfRule type="expression" dxfId="56" priority="2">
      <formula>E14&gt;0</formula>
    </cfRule>
  </conditionalFormatting>
  <conditionalFormatting sqref="E13 E15">
    <cfRule type="expression" dxfId="55" priority="3">
      <formula>E13&lt;0</formula>
    </cfRule>
    <cfRule type="expression" dxfId="54" priority="4">
      <formula>E13&gt;0</formula>
    </cfRule>
  </conditionalFormatting>
  <dataValidations count="5">
    <dataValidation type="list" allowBlank="1" showInputMessage="1" showErrorMessage="1" sqref="F20:F120" xr:uid="{A6C426FB-B47A-44B0-9252-3833A2808208}">
      <formula1>"Credit,Debit"</formula1>
    </dataValidation>
    <dataValidation type="list" allowBlank="1" showInputMessage="1" showErrorMessage="1" sqref="J28:J43" xr:uid="{567A02C0-3013-4A4B-86DB-70284AC66640}">
      <formula1>"Spending,Reserve,Savings,Loan,Safety Net,Retirement"</formula1>
    </dataValidation>
    <dataValidation type="list" allowBlank="1" showInputMessage="1" showErrorMessage="1" sqref="E20:E120" xr:uid="{E2EC0294-297D-42E1-9A9D-5B86E5225ECF}">
      <formula1>INDIRECT("_" &amp; SUBSTITUTE($C$2,"-","_") &amp; "\Budgets[Name]")</formula1>
    </dataValidation>
    <dataValidation type="list" showInputMessage="1" showErrorMessage="1" sqref="J20" xr:uid="{777B364B-78BC-41D2-A052-E782A9797B61}">
      <formula1>"Rolling,Fixed,Saving"</formula1>
    </dataValidation>
    <dataValidation type="list" showInputMessage="1" showErrorMessage="1" sqref="J6:J19" xr:uid="{BE015F05-9DBB-4481-A266-8B7590E889C2}">
      <formula1>"Rolling,Fixed"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2023-12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Forche</dc:creator>
  <cp:lastModifiedBy>Andy Forche</cp:lastModifiedBy>
  <dcterms:created xsi:type="dcterms:W3CDTF">2022-12-14T00:19:02Z</dcterms:created>
  <dcterms:modified xsi:type="dcterms:W3CDTF">2023-12-31T14:35:22Z</dcterms:modified>
</cp:coreProperties>
</file>