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989a1127fd583f/Desktop/Budget_Shiny_App/res/"/>
    </mc:Choice>
  </mc:AlternateContent>
  <xr:revisionPtr revIDLastSave="6806" documentId="8_{2181AA1E-7CE8-40A6-8D88-A3F2B75E4E6C}" xr6:coauthVersionLast="47" xr6:coauthVersionMax="47" xr10:uidLastSave="{0D76E635-B9DF-44DB-9FC5-91530A6D8853}"/>
  <bookViews>
    <workbookView xWindow="-120" yWindow="-120" windowWidth="38640" windowHeight="21120" xr2:uid="{4A682B92-E955-49E4-9CBC-FB857D42C240}"/>
  </bookViews>
  <sheets>
    <sheet name="Template" sheetId="3" r:id="rId1"/>
    <sheet name="2023-02" sheetId="11" r:id="rId2"/>
    <sheet name="2023-01" sheetId="10" r:id="rId3"/>
    <sheet name="2022-12" sheetId="9" r:id="rId4"/>
    <sheet name="2022-11" sheetId="8" r:id="rId5"/>
    <sheet name="2022-10" sheetId="6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1" l="1"/>
  <c r="I21" i="11"/>
  <c r="I20" i="11"/>
  <c r="I16" i="11"/>
  <c r="I14" i="11"/>
  <c r="I12" i="11"/>
  <c r="I11" i="11"/>
  <c r="I10" i="11"/>
  <c r="I9" i="11"/>
  <c r="I7" i="11"/>
  <c r="C2" i="11" a="1"/>
  <c r="C2" i="11" s="1"/>
  <c r="E2" i="11" s="1"/>
  <c r="I22" i="10"/>
  <c r="I21" i="10"/>
  <c r="I20" i="10"/>
  <c r="I16" i="10"/>
  <c r="I14" i="10"/>
  <c r="I12" i="10"/>
  <c r="I11" i="10"/>
  <c r="I10" i="10"/>
  <c r="I9" i="10"/>
  <c r="I7" i="10"/>
  <c r="C2" i="10" a="1"/>
  <c r="C2" i="10" s="1"/>
  <c r="I22" i="3"/>
  <c r="I21" i="3"/>
  <c r="C7" i="10"/>
  <c r="C8" i="10"/>
  <c r="C9" i="10" s="1"/>
  <c r="I20" i="9"/>
  <c r="I19" i="9"/>
  <c r="I16" i="9"/>
  <c r="I14" i="9"/>
  <c r="I12" i="9"/>
  <c r="I11" i="9"/>
  <c r="I10" i="9"/>
  <c r="I9" i="9"/>
  <c r="C8" i="9"/>
  <c r="C9" i="9" s="1"/>
  <c r="I7" i="9"/>
  <c r="C2" i="9" a="1"/>
  <c r="C2" i="9" s="1"/>
  <c r="I20" i="8"/>
  <c r="I19" i="8"/>
  <c r="I16" i="8"/>
  <c r="I14" i="8"/>
  <c r="I12" i="8"/>
  <c r="I11" i="8"/>
  <c r="I10" i="8"/>
  <c r="I9" i="8"/>
  <c r="C8" i="8"/>
  <c r="C9" i="8" s="1"/>
  <c r="I7" i="8"/>
  <c r="C2" i="8" a="1"/>
  <c r="C2" i="8" s="1"/>
  <c r="C8" i="6"/>
  <c r="C9" i="6"/>
  <c r="C2" i="6" a="1"/>
  <c r="C2" i="6" s="1"/>
  <c r="C2" i="3" a="1"/>
  <c r="C2" i="3" s="1"/>
  <c r="E2" i="3" s="1"/>
  <c r="I20" i="6"/>
  <c r="I19" i="6"/>
  <c r="I16" i="6"/>
  <c r="I14" i="6"/>
  <c r="I12" i="6"/>
  <c r="I11" i="6"/>
  <c r="I10" i="6"/>
  <c r="I9" i="6"/>
  <c r="I7" i="6"/>
  <c r="C8" i="3"/>
  <c r="I20" i="3"/>
  <c r="I7" i="3"/>
  <c r="I9" i="3"/>
  <c r="I10" i="3"/>
  <c r="I11" i="3"/>
  <c r="I12" i="3"/>
  <c r="I14" i="3"/>
  <c r="I16" i="3"/>
  <c r="C9" i="3"/>
  <c r="I15" i="6"/>
  <c r="I18" i="6"/>
  <c r="I17" i="6"/>
  <c r="I8" i="6"/>
  <c r="I6" i="6"/>
  <c r="I13" i="6"/>
  <c r="I19" i="10"/>
  <c r="I18" i="9"/>
  <c r="C7" i="11" l="1"/>
  <c r="C8" i="11"/>
  <c r="E2" i="10"/>
  <c r="E2" i="6"/>
  <c r="E2" i="8"/>
  <c r="E2" i="9"/>
  <c r="L13" i="6"/>
  <c r="K15" i="3"/>
  <c r="K7" i="3"/>
  <c r="K18" i="8"/>
  <c r="K7" i="8"/>
  <c r="K20" i="3"/>
  <c r="K11" i="3"/>
  <c r="K15" i="9"/>
  <c r="K8" i="3"/>
  <c r="C18" i="3"/>
  <c r="K10" i="9"/>
  <c r="K13" i="10"/>
  <c r="K16" i="10"/>
  <c r="K19" i="8"/>
  <c r="L14" i="6"/>
  <c r="K9" i="3"/>
  <c r="C11" i="6"/>
  <c r="L19" i="6"/>
  <c r="K19" i="10"/>
  <c r="K7" i="9"/>
  <c r="K16" i="8"/>
  <c r="K7" i="10"/>
  <c r="L12" i="6"/>
  <c r="K8" i="11"/>
  <c r="C18" i="6"/>
  <c r="K16" i="9"/>
  <c r="C18" i="10"/>
  <c r="K20" i="8"/>
  <c r="K9" i="8"/>
  <c r="L18" i="6"/>
  <c r="K11" i="8"/>
  <c r="K13" i="6"/>
  <c r="K14" i="3"/>
  <c r="K6" i="6"/>
  <c r="L20" i="6"/>
  <c r="K6" i="9"/>
  <c r="K15" i="11"/>
  <c r="C15" i="8"/>
  <c r="K20" i="6"/>
  <c r="L17" i="6"/>
  <c r="K9" i="11"/>
  <c r="K11" i="10"/>
  <c r="K10" i="10"/>
  <c r="C13" i="10"/>
  <c r="K10" i="6"/>
  <c r="K19" i="6"/>
  <c r="K6" i="3"/>
  <c r="K14" i="9"/>
  <c r="K7" i="6"/>
  <c r="K20" i="9"/>
  <c r="K15" i="6"/>
  <c r="C15" i="10"/>
  <c r="K18" i="11"/>
  <c r="C11" i="9"/>
  <c r="K8" i="8"/>
  <c r="C11" i="3"/>
  <c r="K8" i="10"/>
  <c r="K9" i="10"/>
  <c r="K12" i="11"/>
  <c r="K22" i="11"/>
  <c r="C15" i="11"/>
  <c r="K11" i="9"/>
  <c r="K10" i="11"/>
  <c r="K18" i="3"/>
  <c r="K12" i="10"/>
  <c r="C18" i="8"/>
  <c r="C11" i="8"/>
  <c r="K6" i="11"/>
  <c r="K10" i="3"/>
  <c r="K15" i="10"/>
  <c r="C18" i="9"/>
  <c r="C11" i="10"/>
  <c r="K20" i="10"/>
  <c r="K12" i="3"/>
  <c r="K6" i="10"/>
  <c r="K21" i="10"/>
  <c r="C15" i="6"/>
  <c r="K8" i="9"/>
  <c r="C13" i="6"/>
  <c r="K22" i="3"/>
  <c r="C11" i="11"/>
  <c r="K14" i="10"/>
  <c r="K21" i="3"/>
  <c r="K9" i="9"/>
  <c r="K15" i="8"/>
  <c r="K17" i="8"/>
  <c r="K11" i="6"/>
  <c r="K13" i="3"/>
  <c r="K18" i="6"/>
  <c r="K16" i="11"/>
  <c r="K13" i="8"/>
  <c r="K19" i="3"/>
  <c r="K22" i="10"/>
  <c r="K16" i="3"/>
  <c r="K16" i="6"/>
  <c r="K12" i="9"/>
  <c r="K17" i="3"/>
  <c r="K13" i="11"/>
  <c r="C13" i="8"/>
  <c r="K12" i="6"/>
  <c r="K13" i="9"/>
  <c r="K17" i="9"/>
  <c r="K7" i="11"/>
  <c r="K14" i="11"/>
  <c r="L16" i="6"/>
  <c r="K19" i="9"/>
  <c r="C13" i="9"/>
  <c r="L8" i="6"/>
  <c r="C15" i="9"/>
  <c r="L7" i="6"/>
  <c r="L15" i="6"/>
  <c r="K17" i="10"/>
  <c r="C13" i="11"/>
  <c r="C18" i="11"/>
  <c r="L9" i="6"/>
  <c r="C13" i="3"/>
  <c r="K14" i="8"/>
  <c r="K6" i="8"/>
  <c r="K20" i="11"/>
  <c r="K17" i="11"/>
  <c r="K18" i="9"/>
  <c r="K8" i="6"/>
  <c r="K17" i="6"/>
  <c r="K11" i="11"/>
  <c r="K21" i="11"/>
  <c r="K12" i="8"/>
  <c r="K9" i="6"/>
  <c r="K14" i="6"/>
  <c r="L10" i="6"/>
  <c r="K18" i="10"/>
  <c r="L11" i="6"/>
  <c r="C15" i="3"/>
  <c r="L6" i="6"/>
  <c r="K19" i="11"/>
  <c r="K10" i="8"/>
  <c r="C9" i="11" l="1"/>
  <c r="C12" i="11" s="1"/>
  <c r="L20" i="11"/>
  <c r="C19" i="11"/>
  <c r="L22" i="11"/>
  <c r="L12" i="11"/>
  <c r="L14" i="11"/>
  <c r="L11" i="11"/>
  <c r="L16" i="11"/>
  <c r="L21" i="11"/>
  <c r="L10" i="11"/>
  <c r="C16" i="11"/>
  <c r="L7" i="11"/>
  <c r="L9" i="11"/>
  <c r="L9" i="9"/>
  <c r="C16" i="6"/>
  <c r="L10" i="3"/>
  <c r="C12" i="10"/>
  <c r="C19" i="10"/>
  <c r="C16" i="9"/>
  <c r="L19" i="9"/>
  <c r="L18" i="9"/>
  <c r="L20" i="9"/>
  <c r="L14" i="8"/>
  <c r="L11" i="3"/>
  <c r="L11" i="10"/>
  <c r="L12" i="10"/>
  <c r="L9" i="10"/>
  <c r="L22" i="3"/>
  <c r="L7" i="10"/>
  <c r="L14" i="9"/>
  <c r="L7" i="3"/>
  <c r="L21" i="10"/>
  <c r="L11" i="8"/>
  <c r="L20" i="3"/>
  <c r="L14" i="10"/>
  <c r="C16" i="8"/>
  <c r="L12" i="8"/>
  <c r="L9" i="3"/>
  <c r="L12" i="3"/>
  <c r="L10" i="10"/>
  <c r="L10" i="9"/>
  <c r="L7" i="8"/>
  <c r="L9" i="8"/>
  <c r="C12" i="6"/>
  <c r="C19" i="6"/>
  <c r="L12" i="9"/>
  <c r="L7" i="9"/>
  <c r="L16" i="8"/>
  <c r="L16" i="3"/>
  <c r="C16" i="10"/>
  <c r="C16" i="3"/>
  <c r="L21" i="3"/>
  <c r="L20" i="10"/>
  <c r="C19" i="8"/>
  <c r="C12" i="8"/>
  <c r="L19" i="10"/>
  <c r="L22" i="10"/>
  <c r="L19" i="8"/>
  <c r="L14" i="3"/>
  <c r="C19" i="9"/>
  <c r="C12" i="9"/>
  <c r="L16" i="9"/>
  <c r="L20" i="8"/>
  <c r="L11" i="9"/>
  <c r="L10" i="8"/>
  <c r="C12" i="3"/>
  <c r="C19" i="3"/>
  <c r="L16" i="10"/>
  <c r="I6" i="8"/>
  <c r="I6" i="3"/>
  <c r="I13" i="3"/>
  <c r="I18" i="10"/>
  <c r="I8" i="8"/>
  <c r="I15" i="8"/>
  <c r="I19" i="3"/>
  <c r="I17" i="3"/>
  <c r="I15" i="3"/>
  <c r="I8" i="3"/>
  <c r="I17" i="8"/>
  <c r="I18" i="8"/>
  <c r="I18" i="3"/>
  <c r="I19" i="11"/>
  <c r="I13" i="8"/>
  <c r="L19" i="11" l="1"/>
  <c r="L18" i="10"/>
  <c r="L13" i="3"/>
  <c r="L8" i="8"/>
  <c r="L18" i="3"/>
  <c r="L15" i="8"/>
  <c r="L18" i="8"/>
  <c r="L8" i="3"/>
  <c r="L6" i="3"/>
  <c r="L17" i="8"/>
  <c r="L15" i="3"/>
  <c r="L6" i="8"/>
  <c r="L19" i="3"/>
  <c r="L17" i="3"/>
  <c r="L13" i="8"/>
  <c r="I13" i="9"/>
  <c r="I17" i="9"/>
  <c r="I18" i="11"/>
  <c r="I6" i="9"/>
  <c r="I8" i="9"/>
  <c r="I15" i="9"/>
  <c r="L18" i="11" l="1"/>
  <c r="L17" i="9"/>
  <c r="L15" i="9"/>
  <c r="L6" i="9"/>
  <c r="L8" i="9"/>
  <c r="L13" i="9"/>
  <c r="I6" i="10"/>
  <c r="I8" i="10"/>
  <c r="I17" i="10"/>
  <c r="I15" i="10"/>
  <c r="I13" i="10"/>
  <c r="L15" i="10" l="1"/>
  <c r="L17" i="10"/>
  <c r="L8" i="10"/>
  <c r="L13" i="10"/>
  <c r="L6" i="10"/>
  <c r="I15" i="11"/>
  <c r="I8" i="11"/>
  <c r="I17" i="11"/>
  <c r="I13" i="11"/>
  <c r="I6" i="11"/>
  <c r="L6" i="11" l="1"/>
  <c r="L17" i="11"/>
  <c r="L8" i="11"/>
  <c r="L13" i="11"/>
  <c r="L1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<sst xmlns="http://schemas.openxmlformats.org/spreadsheetml/2006/main" count="408" uniqueCount="44">
  <si>
    <t>Budgets</t>
  </si>
  <si>
    <t>Type</t>
  </si>
  <si>
    <t>Amount</t>
  </si>
  <si>
    <t>Rollover From Last Month</t>
  </si>
  <si>
    <t>Remaining Budget</t>
  </si>
  <si>
    <t>Name</t>
  </si>
  <si>
    <t>Income</t>
  </si>
  <si>
    <t>Expected Retirement Contributions:</t>
  </si>
  <si>
    <t>Expected Taxes:</t>
  </si>
  <si>
    <t>Expected Gross Income (Andy):</t>
  </si>
  <si>
    <t>Expected Gross Income (Sara):</t>
  </si>
  <si>
    <t>Expected Net Income:</t>
  </si>
  <si>
    <t>Rolling</t>
  </si>
  <si>
    <t>Fixed</t>
  </si>
  <si>
    <t>Override Rollover Amount</t>
  </si>
  <si>
    <t>Total Unbudgeted Amount: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</si>
  <si>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</si>
  <si>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</si>
  <si>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</si>
  <si>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</si>
  <si>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</si>
  <si>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</si>
  <si>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</si>
  <si>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Savings</t>
  </si>
  <si>
    <t>Total Savings:</t>
  </si>
  <si>
    <t>Saving</t>
  </si>
  <si>
    <t>First Monday</t>
  </si>
  <si>
    <t>Second Monday</t>
  </si>
  <si>
    <t>Third Monday</t>
  </si>
  <si>
    <t>Fourth Monday</t>
  </si>
  <si>
    <t>Fifth Monday</t>
  </si>
  <si>
    <t>Account Balances</t>
  </si>
  <si>
    <t>Spending</t>
  </si>
  <si>
    <t>Reserve</t>
  </si>
  <si>
    <t>Safety Net</t>
  </si>
  <si>
    <t>Retirement</t>
  </si>
  <si>
    <t>Source</t>
  </si>
  <si>
    <t>Actual Net Income:</t>
  </si>
  <si>
    <t>Total Spent</t>
  </si>
  <si>
    <t>Total Budgeted Amount:</t>
  </si>
  <si>
    <t>Total Budget Remaining:</t>
  </si>
  <si>
    <t>Income vs. Budgeted Income</t>
  </si>
  <si>
    <t>Total Spent / Saved:</t>
  </si>
  <si>
    <t>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</si>
</sst>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;[Red]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6" fontId="0" fillId="0" borderId="0" xfId="0" applyNumberFormat="1"/>
    <xf numFmtId="8" fontId="0" fillId="0" borderId="0" xfId="0" applyNumberFormat="1"/>
    <xf numFmtId="164" fontId="0" fillId="0" borderId="0" xfId="0" applyNumberFormat="1"/>
    <xf numFmtId="6" fontId="0" fillId="2" borderId="1" xfId="0" applyNumberFormat="1" applyFill="1" applyBorder="1" applyProtection="1">
      <protection locked="0"/>
    </xf>
    <xf numFmtId="8" fontId="0" fillId="2" borderId="1" xfId="0" applyNumberFormat="1" applyFill="1" applyBorder="1" applyProtection="1">
      <protection locked="0"/>
    </xf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right" readingOrder="2"/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Alignment="1" applyProtection="1">
      <alignment horizontal="right" readingOrder="2"/>
      <protection locked="0"/>
    </xf>
    <xf numFmtId="164" fontId="0" fillId="2" borderId="1" xfId="0" applyNumberFormat="1" applyFill="1" applyBorder="1"/>
    <xf numFmtId="164" fontId="0" fillId="2" borderId="2" xfId="0" applyNumberFormat="1" applyFill="1" applyBorder="1"/>
  </cellXfs>
  <cellStyles count="1">
    <cellStyle name="Normal" xfId="0" builtinId="0"/>
  </cellStyles>
  <dxfs count="192"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93C61E-5182-4571-996F-3C4DB6F2B5F2}" name="Budgets" displayName="Budgets" ref="F5:L22" totalsRowShown="0" headerRowDxfId="191" dataDxfId="190">
  <autoFilter ref="F5:L22" xr:uid="{6993C61E-5182-4571-996F-3C4DB6F2B5F2}"/>
  <tableColumns count="7">
    <tableColumn id="1" xr3:uid="{8943831D-1C8A-4F5D-95A8-EE7179B852B1}" name="Name" dataDxfId="189"/>
    <tableColumn id="2" xr3:uid="{8EBB0CEA-3CCB-48FA-8C94-F03740950DA2}" name="Type" dataDxfId="188"/>
    <tableColumn id="3" xr3:uid="{6BEBBCAF-0D99-480F-9DE9-8E043AF8AF3C}" name="Amount" dataDxfId="187"/>
    <tableColumn id="4" xr3:uid="{F1FD9DEF-4445-48CA-9469-93E5ADCCDCAB}" name="Rollover From Last Month" dataDxfId="186">
      <calculatedColumnFormula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calculatedColumnFormula>
    </tableColumn>
    <tableColumn id="6" xr3:uid="{06111B8D-9029-40EA-B393-7BAE5E067C2B}" name="Override Rollover Amount" dataDxfId="185"/>
    <tableColumn id="7" xr3:uid="{7DE8C972-5781-4A01-B47E-78C17C12E8FD}" name="Total Spent" dataDxfId="184">
      <calculatedColumnFormula>SUMIF(INDIRECT("_" &amp; SUBSTITUTE($C$2,"-","_") &amp; "\Transactions[Category]"),Budgets[[#This Row],[Name]],INDIRECT("_" &amp; SUBSTITUTE($C$2,"-","_") &amp; "\Transactions[Amount]"))</calculatedColumnFormula>
    </tableColumn>
    <tableColumn id="5" xr3:uid="{73D71772-A557-47D7-8718-7840CFBB3361}" name="Remaining Budget" dataDxfId="183">
      <calculatedColumnFormula>Budgets[[#This Row],[Amount]]+IF(NOT(Budgets[[#This Row],[Rollover From Last Month]]=""),Budgets[[#This Row],[Rollover From Last Month]],0)-Budgets[[#This Row],[Total Spent]]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46B62F-7A14-4839-B25C-76E755827075}" name="Transactions" displayName="Transactions" ref="B26:F127" totalsRowShown="0" headerRowDxfId="182" dataDxfId="181">
  <autoFilter ref="B26:F127" xr:uid="{EC46B62F-7A14-4839-B25C-76E755827075}"/>
  <tableColumns count="5">
    <tableColumn id="1" xr3:uid="{06D0FCB0-9F81-4C87-AE67-25A0AAAFC736}" name="Date" dataDxfId="180"/>
    <tableColumn id="2" xr3:uid="{7B3C4D0E-6BF2-4ACC-902F-3EC67A595EB9}" name="Location" dataDxfId="179"/>
    <tableColumn id="3" xr3:uid="{3071BBE3-D6F5-495A-8460-69164F3C6E5E}" name="Description" dataDxfId="178"/>
    <tableColumn id="4" xr3:uid="{12BC5B33-B050-41FE-9857-1FDD4D5CA5B8}" name="Category" dataDxfId="177"/>
    <tableColumn id="5" xr3:uid="{D28580DE-D537-4F3A-93E5-5A533130ABF7}" name="Amount" dataDxfId="17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74A6B0-EF6A-4DFE-B7B5-17DAD41163E3}" name="Balances" displayName="Balances" ref="H26:N39" totalsRowShown="0" headerRowDxfId="175" dataDxfId="174" tableBorderDxfId="173">
  <autoFilter ref="H26:N39" xr:uid="{9874A6B0-EF6A-4DFE-B7B5-17DAD41163E3}"/>
  <tableColumns count="7">
    <tableColumn id="1" xr3:uid="{0F34E78D-CA6E-4DAA-BB0F-01CD6E82F1E5}" name="Name" dataDxfId="172"/>
    <tableColumn id="2" xr3:uid="{E6DAD4BD-0CF1-47D2-98DD-C3350A04E12E}" name="Category" dataDxfId="171"/>
    <tableColumn id="3" xr3:uid="{79AAE9B0-0736-463D-AD5C-8CF2E6D1FB35}" name="First Monday" dataDxfId="170"/>
    <tableColumn id="4" xr3:uid="{179D70A1-AF28-4A04-93A2-84B7FD6759A9}" name="Second Monday" dataDxfId="169"/>
    <tableColumn id="5" xr3:uid="{693250E7-F87C-4272-BD87-EA860FC9FE39}" name="Third Monday" dataDxfId="168"/>
    <tableColumn id="6" xr3:uid="{BA101F32-3EBA-44D6-9045-20E101B08CFA}" name="Fourth Monday" dataDxfId="167"/>
    <tableColumn id="7" xr3:uid="{4EB50702-9A76-4A93-8985-0C42CAF6E4C5}" name="Fifth Monday" dataDxfId="16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EC8C2F-5549-4B3F-927C-B3465789AE2F}" name="Income" displayName="Income" ref="H42:J51" totalsRowShown="0" headerRowDxfId="165" dataDxfId="164" tableBorderDxfId="163">
  <autoFilter ref="H42:J51" xr:uid="{CBEC8C2F-5549-4B3F-927C-B3465789AE2F}"/>
  <tableColumns count="3">
    <tableColumn id="1" xr3:uid="{30CAAF0F-9BF8-4DBC-8A62-1E290A68A673}" name="Date" dataDxfId="162"/>
    <tableColumn id="2" xr3:uid="{08B5E387-3FFD-4111-A4B2-FA5434138B61}" name="Source" dataDxfId="161"/>
    <tableColumn id="3" xr3:uid="{29100732-F178-42AE-889C-5B75B5E0B398}" name="Amount" dataDxfId="16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585A5AF-5435-4D9C-8969-8429E2966CF2}" name="2023-02\Budgets" displayName="_2023_02\Budgets" ref="F5:L22" totalsRowShown="0" headerRowDxfId="159" dataDxfId="158">
  <autoFilter ref="F5:L22" xr:uid="{6993C61E-5182-4571-996F-3C4DB6F2B5F2}"/>
  <tableColumns count="7">
    <tableColumn id="1" xr3:uid="{F4DCEEFB-0CB0-4EBF-8C96-6FBE5F547D44}" name="Name" dataDxfId="157"/>
    <tableColumn id="2" xr3:uid="{C6D9F7C9-5126-4C66-8B2E-32AFDD23078D}" name="Type" dataDxfId="156"/>
    <tableColumn id="3" xr3:uid="{54349373-731E-446A-9F24-7C754E5C56FC}" name="Amount" dataDxfId="155"/>
    <tableColumn id="4" xr3:uid="{366C79DA-61DF-4D67-8E52-F3E47150535D}" name="Rollover From Last Month" dataDxfId="154">
      <calculatedColumnFormula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calculatedColumnFormula>
    </tableColumn>
    <tableColumn id="6" xr3:uid="{874D5544-0882-4604-B7ED-D4B9F9EA5CC3}" name="Override Rollover Amount" dataDxfId="153"/>
    <tableColumn id="7" xr3:uid="{59532F84-7EC5-4AF7-8FB4-F22C6BE0E5FD}" name="Total Spent" dataDxfId="152">
      <calculatedColumnFormula>SUMIF(INDIRECT("_" &amp; SUBSTITUTE($C$2,"-","_") &amp; "\Transactions[Category]"),_2023_02\Budgets[[#This Row],[Name]],INDIRECT("_" &amp; SUBSTITUTE($C$2,"-","_") &amp; "\Transactions[Amount]"))</calculatedColumnFormula>
    </tableColumn>
    <tableColumn id="5" xr3:uid="{A72152DA-F3AA-415E-9A35-DD830C24C817}" name="Remaining Budget" dataDxfId="151">
      <calculatedColumnFormula>_2023_02\Budgets[[#This Row],[Amount]]+IF(NOT(_2023_02\Budgets[[#This Row],[Rollover From Last Month]]=""),_2023_02\Budgets[[#This Row],[Rollover From Last Month]],0)-_2023_02\Budgets[[#This Row],[Total Spent]]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BCE092-0CC0-4E21-A780-FE4EB776A063}" name="2023-02\Transactions" displayName="_2023_02\Transactions" ref="B26:F127" totalsRowShown="0" headerRowDxfId="150" dataDxfId="149">
  <autoFilter ref="B26:F127" xr:uid="{EC46B62F-7A14-4839-B25C-76E755827075}"/>
  <tableColumns count="5">
    <tableColumn id="1" xr3:uid="{A16A49B4-A71C-4EFA-9F01-AF5F20E8E808}" name="Date" dataDxfId="148"/>
    <tableColumn id="2" xr3:uid="{ABFF9182-60E8-4616-A930-26D0D95BBEDD}" name="Location" dataDxfId="147"/>
    <tableColumn id="3" xr3:uid="{DAAC74AE-1DE9-486C-B785-38D7246DE623}" name="Description" dataDxfId="146"/>
    <tableColumn id="4" xr3:uid="{3D5013CD-467F-43D3-A3B1-051B7E9C141C}" name="Category" dataDxfId="145"/>
    <tableColumn id="5" xr3:uid="{3AB81D1B-E2D7-4DC6-BB7E-AF5D67823162}" name="Amount" dataDxfId="14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F98385E-FE7C-4C29-8714-5A699A3B5C4A}" name="2023-02\Balances" displayName="_2023_02\Balances" ref="H26:N39" totalsRowShown="0" headerRowDxfId="143" dataDxfId="142" tableBorderDxfId="141">
  <autoFilter ref="H26:N39" xr:uid="{9874A6B0-EF6A-4DFE-B7B5-17DAD41163E3}"/>
  <tableColumns count="7">
    <tableColumn id="1" xr3:uid="{CA5265C9-B22A-44FE-B66F-EE7AFEB4439C}" name="Name" dataDxfId="140"/>
    <tableColumn id="2" xr3:uid="{38209CC1-D8C5-4F01-BD08-6310EED1E6ED}" name="Category" dataDxfId="139"/>
    <tableColumn id="3" xr3:uid="{38C858F8-D026-4902-A3FC-DB6123195EE9}" name="First Monday" dataDxfId="138"/>
    <tableColumn id="4" xr3:uid="{F833492D-4462-4BF8-8580-CB2A23727279}" name="Second Monday" dataDxfId="137"/>
    <tableColumn id="5" xr3:uid="{8CE282F1-D62F-470A-A039-395317DC7C64}" name="Third Monday" dataDxfId="136"/>
    <tableColumn id="6" xr3:uid="{AC30BCB1-C210-4DAD-BA28-A91CB304740C}" name="Fourth Monday" dataDxfId="135"/>
    <tableColumn id="7" xr3:uid="{2F83F318-C4BF-4C80-B825-C7A6C255D72A}" name="Fifth Monday" dataDxfId="13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022C49B-777F-4321-825F-51C259A962C4}" name="2023-02\Income" displayName="_2023_02\Income" ref="H42:J51" totalsRowShown="0" headerRowDxfId="133" dataDxfId="132" tableBorderDxfId="131">
  <autoFilter ref="H42:J51" xr:uid="{CBEC8C2F-5549-4B3F-927C-B3465789AE2F}"/>
  <tableColumns count="3">
    <tableColumn id="1" xr3:uid="{802CFD98-5035-45D4-8747-3B8790A04A94}" name="Date" dataDxfId="130"/>
    <tableColumn id="2" xr3:uid="{AD60BB6A-A082-4A99-869D-70A123F60CFC}" name="Source" dataDxfId="129"/>
    <tableColumn id="3" xr3:uid="{9B28455C-BA81-4001-9323-97A557CA6269}" name="Amount" dataDxfId="12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1B7EDB-F369-447A-99CD-18C478B28702}" name="2023-01\Budgets" displayName="_2023_01\Budgets" ref="F5:L22" totalsRowShown="0" headerRowDxfId="127" dataDxfId="126">
  <autoFilter ref="F5:L22" xr:uid="{6993C61E-5182-4571-996F-3C4DB6F2B5F2}"/>
  <tableColumns count="7">
    <tableColumn id="1" xr3:uid="{431F2EE1-EB0D-400C-A886-FE76B0000849}" name="Name" dataDxfId="125"/>
    <tableColumn id="2" xr3:uid="{8AC0EF3D-137D-42FF-AF12-62E417796908}" name="Type" dataDxfId="124"/>
    <tableColumn id="3" xr3:uid="{90A7795C-38A8-4F9C-A291-9E83414BF3FC}" name="Amount" dataDxfId="123"/>
    <tableColumn id="4" xr3:uid="{554FBAB8-5C7D-4C79-9275-B89B481D409B}" name="Rollover From Last Month" dataDxfId="122">
      <calculatedColumnFormula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calculatedColumnFormula>
    </tableColumn>
    <tableColumn id="6" xr3:uid="{CBEE1BB8-0FB6-40B4-AD4D-735B55528B1D}" name="Override Rollover Amount" dataDxfId="121"/>
    <tableColumn id="7" xr3:uid="{B7E8B3F4-1567-47F8-B8CB-3A081B60F55B}" name="Total Spent" dataDxfId="120">
      <calculatedColumnFormula>SUMIF(INDIRECT("_" &amp; SUBSTITUTE($C$2,"-","_") &amp; "\Transactions[Category]"),_2023_01\Budgets[[#This Row],[Name]],INDIRECT("_" &amp; SUBSTITUTE($C$2,"-","_") &amp; "\Transactions[Amount]"))</calculatedColumnFormula>
    </tableColumn>
    <tableColumn id="5" xr3:uid="{FAFA63DA-B257-47D4-8770-9C7F59CB49C0}" name="Remaining Budget" dataDxfId="119">
      <calculatedColumnFormula>_2023_01\Budgets[[#This Row],[Amount]]+IF(NOT(_2023_01\Budgets[[#This Row],[Rollover From Last Month]]=""),_2023_01\Budgets[[#This Row],[Rollover From Last Month]],0)-_2023_01\Budgets[[#This Row],[Total Spent]]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771C8B-AC98-4CD7-A417-9DF55FC1F9B6}" name="2023-01\Transactions" displayName="_2023_01\Transactions" ref="B26:F127" totalsRowShown="0" headerRowDxfId="118" dataDxfId="117">
  <autoFilter ref="B26:F127" xr:uid="{EC46B62F-7A14-4839-B25C-76E755827075}"/>
  <tableColumns count="5">
    <tableColumn id="1" xr3:uid="{B6CF2795-6893-41CE-88FD-151E08B62213}" name="Date" dataDxfId="116"/>
    <tableColumn id="2" xr3:uid="{9BA8FEF1-0012-41F4-AE5F-EF264475DB9D}" name="Location" dataDxfId="115"/>
    <tableColumn id="3" xr3:uid="{BDE3F865-C56B-4A02-A1E2-D9170D176137}" name="Description" dataDxfId="114"/>
    <tableColumn id="4" xr3:uid="{7947E6D2-BEE6-4F47-83AF-972A80D3A8A2}" name="Category" dataDxfId="113"/>
    <tableColumn id="5" xr3:uid="{C998129C-22DA-4ED6-9396-654209C21066}" name="Amount" dataDxfId="11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EFD541-1E7E-40BA-99B8-EA988A218D74}" name="2023-01\Balances" displayName="_2023_01\Balances" ref="H26:N39" totalsRowShown="0" headerRowDxfId="111" dataDxfId="110" tableBorderDxfId="109">
  <autoFilter ref="H26:N39" xr:uid="{9874A6B0-EF6A-4DFE-B7B5-17DAD41163E3}"/>
  <tableColumns count="7">
    <tableColumn id="1" xr3:uid="{CA42ADA9-6B0D-4EEF-BFA5-7731F9DF2762}" name="Name" dataDxfId="108"/>
    <tableColumn id="2" xr3:uid="{97ED88B6-3587-486F-8EB7-0D8F5F8016E7}" name="Category" dataDxfId="107"/>
    <tableColumn id="3" xr3:uid="{B7A170F9-9DA8-47BA-87A8-C44226E82F78}" name="First Monday" dataDxfId="106"/>
    <tableColumn id="4" xr3:uid="{AA3F446B-EC19-4FE3-B7F4-D32E1CB156E9}" name="Second Monday" dataDxfId="105"/>
    <tableColumn id="5" xr3:uid="{E774FDAC-A86F-4664-B3F7-B60D0B3D7E19}" name="Third Monday" dataDxfId="104"/>
    <tableColumn id="6" xr3:uid="{FA1054C2-7F88-4E58-9F1F-6E8BF51F4C88}" name="Fourth Monday" dataDxfId="103"/>
    <tableColumn id="7" xr3:uid="{611FF680-A1D3-4AAB-AD58-3C963113CEFB}" name="Fifth Monday" dataDxfId="10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0E1B6A8-29BF-4122-B6FC-CBB4AD87D429}" name="2023-01\Income" displayName="_2023_01\Income" ref="H42:J51" totalsRowShown="0" headerRowDxfId="101" dataDxfId="100" tableBorderDxfId="99">
  <autoFilter ref="H42:J51" xr:uid="{CBEC8C2F-5549-4B3F-927C-B3465789AE2F}"/>
  <tableColumns count="3">
    <tableColumn id="1" xr3:uid="{0F64DF3F-A51E-4870-9C0C-6E723259E085}" name="Date" dataDxfId="98"/>
    <tableColumn id="2" xr3:uid="{CF6B8E8C-6BF0-47D3-87A8-FA6EEB7F98E3}" name="Source" dataDxfId="97"/>
    <tableColumn id="3" xr3:uid="{22D59725-6BA2-4C0F-B85D-DFF0A106D373}" name="Amount" dataDxfId="9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CDFA9EA-C7F4-468B-9ABF-F73522BB5F41}" name="2022-12\Budgets" displayName="_2022_12\Budgets" ref="F5:L20" totalsRowShown="0" headerRowDxfId="95" dataDxfId="94">
  <autoFilter ref="F5:L20" xr:uid="{6993C61E-5182-4571-996F-3C4DB6F2B5F2}"/>
  <tableColumns count="7">
    <tableColumn id="1" xr3:uid="{12D07C89-07F4-41D9-BDAC-75F75A7C7B73}" name="Name" dataDxfId="93"/>
    <tableColumn id="2" xr3:uid="{3B094035-B308-4F79-9814-1EE79E4F91B6}" name="Type" dataDxfId="92"/>
    <tableColumn id="3" xr3:uid="{9AC37443-E2EE-4D88-977A-FB226CEE32ED}" name="Amount" dataDxfId="91"/>
    <tableColumn id="4" xr3:uid="{B1A818F1-AEFF-4D61-9C0E-B57E21A2C74C}" name="Rollover From Last Month" dataDxfId="90">
      <calculatedColumnFormula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calculatedColumnFormula>
    </tableColumn>
    <tableColumn id="6" xr3:uid="{747AA325-E006-4272-A487-B22459A9C691}" name="Override Rollover Amount" dataDxfId="89"/>
    <tableColumn id="7" xr3:uid="{43171DC1-D4A7-4C8F-A6D7-4367EFC16FC8}" name="Total Spent" dataDxfId="88">
      <calculatedColumnFormula>SUMIF(INDIRECT("_" &amp; SUBSTITUTE($C$2,"-","_") &amp; "\Transactions[Category]"),_2022_12\Budgets[[#This Row],[Name]],INDIRECT("_" &amp; SUBSTITUTE($C$2,"-","_") &amp; "\Transactions[Amount]"))</calculatedColumnFormula>
    </tableColumn>
    <tableColumn id="5" xr3:uid="{25B683A4-9A96-4577-BC3D-E89881B896F3}" name="Remaining Budget" dataDxfId="87">
      <calculatedColumnFormula>_2022_12\Budgets[[#This Row],[Amount]]+IF(NOT(_2022_12\Budgets[[#This Row],[Rollover From Last Month]]=""),_2022_12\Budgets[[#This Row],[Rollover From Last Month]],0)-_2022_12\Budgets[[#This Row],[Total Spent]]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C62704B-4D11-48FF-8834-E1C6104A4115}" name="2022-12\Transactions" displayName="_2022_12\Transactions" ref="B26:F127" totalsRowShown="0" headerRowDxfId="86" dataDxfId="85">
  <autoFilter ref="B26:F127" xr:uid="{EC46B62F-7A14-4839-B25C-76E755827075}"/>
  <sortState xmlns:xlrd2="http://schemas.microsoft.com/office/spreadsheetml/2017/richdata2" ref="B27:F127">
    <sortCondition ref="B26:B127"/>
  </sortState>
  <tableColumns count="5">
    <tableColumn id="1" xr3:uid="{850C7D95-9952-427E-B2E0-8912BB19AC24}" name="Date" dataDxfId="84"/>
    <tableColumn id="2" xr3:uid="{AD13BB47-98FF-4290-895D-323ADE023CFC}" name="Location" dataDxfId="83"/>
    <tableColumn id="3" xr3:uid="{6B6035EB-3EF1-4B15-9D3F-25711E201560}" name="Description" dataDxfId="82"/>
    <tableColumn id="4" xr3:uid="{19FE307D-F71D-4D88-8600-D068984CF332}" name="Category" dataDxfId="81"/>
    <tableColumn id="5" xr3:uid="{09C22803-5289-43EE-8CE9-108B5D69AA20}" name="Amount" dataDxfId="8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FAEE98-CF3A-41B1-B2AC-329CE252F03E}" name="2022-12\Balances" displayName="_2022_12\Balances" ref="H26:N35" totalsRowShown="0" headerRowDxfId="79" dataDxfId="78" tableBorderDxfId="77">
  <autoFilter ref="H26:N35" xr:uid="{9874A6B0-EF6A-4DFE-B7B5-17DAD41163E3}"/>
  <tableColumns count="7">
    <tableColumn id="1" xr3:uid="{E3BFD44C-787A-48C6-865F-C7E1516B9F74}" name="Name" dataDxfId="76"/>
    <tableColumn id="2" xr3:uid="{B06A698F-F15B-4926-AFA0-D21F80DDD3EA}" name="Category" dataDxfId="75"/>
    <tableColumn id="3" xr3:uid="{01B9DD5F-2057-43A8-8161-8E1C3720850E}" name="First Monday" dataDxfId="74"/>
    <tableColumn id="4" xr3:uid="{64A0FB8C-B796-4DC0-92F0-2B29546318DF}" name="Second Monday" dataDxfId="73"/>
    <tableColumn id="5" xr3:uid="{D94FEB3A-942C-49C7-B5C0-E67D351C6365}" name="Third Monday" dataDxfId="72"/>
    <tableColumn id="6" xr3:uid="{9D0B242B-DDE8-4511-A696-2133491D5CE4}" name="Fourth Monday" dataDxfId="71"/>
    <tableColumn id="7" xr3:uid="{1F999B3F-510C-4FB5-A67A-4B884E07C69F}" name="Fifth Monday" dataDxfId="7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E1E323-37C6-4898-B5B1-195A8AB5EEDC}" name="2022-12\Income" displayName="_2022_12\Income" ref="H42:J51" totalsRowShown="0" headerRowDxfId="69" dataDxfId="68" tableBorderDxfId="67">
  <autoFilter ref="H42:J51" xr:uid="{CBEC8C2F-5549-4B3F-927C-B3465789AE2F}"/>
  <tableColumns count="3">
    <tableColumn id="1" xr3:uid="{D33B0EEA-92DB-46F2-BFCE-E5E4F9923DD2}" name="Date" dataDxfId="66"/>
    <tableColumn id="2" xr3:uid="{C9800833-A5C0-4D1E-91E9-B160A21E70C0}" name="Source" dataDxfId="65"/>
    <tableColumn id="3" xr3:uid="{93740B46-B3CC-4CC3-BCD6-A1E2DA4E4DF9}" name="Amount" dataDxfId="64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45A70C-F4E3-4C01-91BD-C5E97623D6B3}" name="2022-11\Budgets" displayName="_2022_11\Budgets" ref="F5:L20" totalsRowShown="0" headerRowDxfId="63" dataDxfId="62">
  <autoFilter ref="F5:L20" xr:uid="{6993C61E-5182-4571-996F-3C4DB6F2B5F2}"/>
  <tableColumns count="7">
    <tableColumn id="1" xr3:uid="{96B48630-7F98-4702-B382-485518428F03}" name="Name" dataDxfId="61"/>
    <tableColumn id="2" xr3:uid="{D98522E7-BE99-477E-B9E3-B53425A53679}" name="Type" dataDxfId="60"/>
    <tableColumn id="3" xr3:uid="{E0DB3272-47CE-4EF0-9A0D-14D86A09EA30}" name="Amount" dataDxfId="59"/>
    <tableColumn id="4" xr3:uid="{D64F7558-13B8-44EC-8761-577A0F080F0C}" name="Rollover From Last Month" dataDxfId="58">
      <calculatedColumnFormula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calculatedColumnFormula>
    </tableColumn>
    <tableColumn id="6" xr3:uid="{8CCD1E8F-0548-455B-9A76-2E33C30A4C37}" name="Override Rollover Amount" dataDxfId="57"/>
    <tableColumn id="7" xr3:uid="{9AB8A07E-9E16-49F4-A42D-0EEF2B00F202}" name="Total Spent" dataDxfId="56">
      <calculatedColumnFormula>SUMIF(INDIRECT("_" &amp; SUBSTITUTE($C$2,"-","_") &amp; "\Transactions[Category]"),_2022_11\Budgets[[#This Row],[Name]],INDIRECT("_" &amp; SUBSTITUTE($C$2,"-","_") &amp; "\Transactions[Amount]"))</calculatedColumnFormula>
    </tableColumn>
    <tableColumn id="5" xr3:uid="{A62BD157-6C48-4C85-885B-FBE07C7248E0}" name="Remaining Budget" dataDxfId="55">
      <calculatedColumnFormula>_2022_11\Budgets[[#This Row],[Amount]]+IF(NOT(_2022_11\Budgets[[#This Row],[Rollover From Last Month]]=""),_2022_11\Budgets[[#This Row],[Rollover From Last Month]],0)-_2022_11\Budgets[[#This Row],[Total Spent]]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68FB3C7-FC9E-45D2-ADA8-6F7567A73395}" name="2022-11\Transactions" displayName="_2022_11\Transactions" ref="B26:F127" totalsRowShown="0" headerRowDxfId="54" dataDxfId="53">
  <autoFilter ref="B26:F127" xr:uid="{EC46B62F-7A14-4839-B25C-76E755827075}"/>
  <tableColumns count="5">
    <tableColumn id="1" xr3:uid="{45523085-5CFA-461A-B3F6-37B3344C895D}" name="Date" dataDxfId="52"/>
    <tableColumn id="2" xr3:uid="{09E139BE-E7B0-4638-A95B-CE9D5E646435}" name="Location" dataDxfId="51"/>
    <tableColumn id="3" xr3:uid="{E1E64B6E-2E23-4B1C-B273-EEB05647A367}" name="Description" dataDxfId="50"/>
    <tableColumn id="4" xr3:uid="{3C172121-04BF-49F2-BCFB-928256BA4549}" name="Category" dataDxfId="49"/>
    <tableColumn id="5" xr3:uid="{6341B34C-24D0-4472-B6FC-8AD55AAAE2AD}" name="Amount" dataDxfId="48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20145EF-00D8-460D-8590-C4902AE45E13}" name="2022-11\Balances" displayName="_2022_11\Balances" ref="H26:N35" totalsRowShown="0" headerRowDxfId="47" dataDxfId="46" tableBorderDxfId="45">
  <autoFilter ref="H26:N35" xr:uid="{9874A6B0-EF6A-4DFE-B7B5-17DAD41163E3}"/>
  <tableColumns count="7">
    <tableColumn id="1" xr3:uid="{F22B100A-B573-44BD-B2ED-74B41FCD69D9}" name="Name" dataDxfId="44"/>
    <tableColumn id="2" xr3:uid="{3ADAF8C9-327D-445A-849A-05509578E375}" name="Category" dataDxfId="43"/>
    <tableColumn id="3" xr3:uid="{BA052774-6CC4-42BF-A6A9-9D65B094DE1C}" name="First Monday" dataDxfId="42"/>
    <tableColumn id="4" xr3:uid="{44EB3F19-3141-472A-89A6-448756ED42EB}" name="Second Monday" dataDxfId="41"/>
    <tableColumn id="5" xr3:uid="{06FBFA9D-20FF-4227-AA26-E3044FBC0390}" name="Third Monday" dataDxfId="40"/>
    <tableColumn id="6" xr3:uid="{6AD50A4F-59E4-422B-B268-43A6859D1E78}" name="Fourth Monday" dataDxfId="39"/>
    <tableColumn id="7" xr3:uid="{66CBE600-9A06-4934-878E-AC0423138DF4}" name="Fifth Monday" dataDxfId="3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91A54B-FF8F-4795-9838-4DFFBB94707D}" name="2022-11\Income" displayName="_2022_11\Income" ref="H42:J51" totalsRowShown="0" headerRowDxfId="37" dataDxfId="36" tableBorderDxfId="35">
  <autoFilter ref="H42:J51" xr:uid="{CBEC8C2F-5549-4B3F-927C-B3465789AE2F}"/>
  <tableColumns count="3">
    <tableColumn id="1" xr3:uid="{CA2ACE24-F6D0-43A4-9BD3-BA79CEC21DCA}" name="Date" dataDxfId="34"/>
    <tableColumn id="2" xr3:uid="{5FC454AD-C577-4EF9-BB5D-5EF23D3D74CD}" name="Source" dataDxfId="33"/>
    <tableColumn id="3" xr3:uid="{B81EA170-18F2-4938-B589-84DDC2C69818}" name="Amount" dataDxfId="3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440F16-FBAC-42B4-BA1D-B8BAE89D529F}" name="2022-10\Budgets" displayName="_2022_10\Budgets" ref="F5:L20" totalsRowShown="0" headerRowDxfId="31" dataDxfId="30">
  <autoFilter ref="F5:L20" xr:uid="{6993C61E-5182-4571-996F-3C4DB6F2B5F2}"/>
  <tableColumns count="7">
    <tableColumn id="1" xr3:uid="{9B2278EF-1126-477B-8290-FBAD52E72DDF}" name="Name" dataDxfId="29"/>
    <tableColumn id="2" xr3:uid="{7771CF9B-B5DD-4951-B3CA-F29FA8D29D36}" name="Type" dataDxfId="28"/>
    <tableColumn id="3" xr3:uid="{F1A9CC89-718C-441B-9906-F1E613A5A720}" name="Amount" dataDxfId="27"/>
    <tableColumn id="4" xr3:uid="{2BBC9665-2E70-4019-967E-8AB6DE89B6CA}" name="Rollover From Last Month" dataDxfId="26">
      <calculatedColumnFormula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calculatedColumnFormula>
    </tableColumn>
    <tableColumn id="6" xr3:uid="{1F078263-6514-43AF-BF29-638F23EBBC90}" name="Override Rollover Amount" dataDxfId="25"/>
    <tableColumn id="7" xr3:uid="{E7BED282-CD8B-4ECA-8E74-9D45BDD193D9}" name="Total Spent" dataDxfId="24">
      <calculatedColumnFormula>SUMIF(INDIRECT("_" &amp; SUBSTITUTE($C$2,"-","_") &amp; "\Transactions[Category]"),Budgets[[#This Row],[Name]],INDIRECT("_" &amp; SUBSTITUTE($C$2,"-","_") &amp; "\Transactions[Amount]"))</calculatedColumnFormula>
    </tableColumn>
    <tableColumn id="5" xr3:uid="{5467DDED-B8E4-4762-B593-3EB6D568DA99}" name="Remaining Budget" dataDxfId="23">
      <calculatedColumnFormula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calculatedColumnFormula>
    </tableColumn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341DA8-CAB4-4601-834A-7E85309508ED}" name="2022-10\Transactions" displayName="_2022_10\Transactions" ref="B26:F127" totalsRowShown="0" headerRowDxfId="22" dataDxfId="21">
  <autoFilter ref="B26:F127" xr:uid="{EC46B62F-7A14-4839-B25C-76E755827075}"/>
  <tableColumns count="5">
    <tableColumn id="1" xr3:uid="{5E4CF7DF-D770-4273-8074-3B9971BCB28E}" name="Date" dataDxfId="20"/>
    <tableColumn id="2" xr3:uid="{377A840B-5C40-44F0-A4D6-2EB2687F5C39}" name="Location" dataDxfId="19"/>
    <tableColumn id="3" xr3:uid="{71F8817E-EBFD-4926-AE48-C05AC05A4687}" name="Description" dataDxfId="18"/>
    <tableColumn id="4" xr3:uid="{EB00A547-A7BF-4BE2-9EB6-56F730CF7299}" name="Category" dataDxfId="17"/>
    <tableColumn id="5" xr3:uid="{1AA154EB-258D-4A31-ADB2-41A534E54CD1}" name="Amount" dataDxfId="16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4E096A-74D1-45AE-8E34-44DD4A3B8850}" name="2022-10\Balances" displayName="_2022_10\Balances" ref="H26:N35" totalsRowShown="0" headerRowDxfId="15" dataDxfId="14" tableBorderDxfId="13">
  <autoFilter ref="H26:N35" xr:uid="{9874A6B0-EF6A-4DFE-B7B5-17DAD41163E3}"/>
  <tableColumns count="7">
    <tableColumn id="1" xr3:uid="{8EDF4045-A3E8-4255-AD77-8B5097060EEB}" name="Name" dataDxfId="12"/>
    <tableColumn id="2" xr3:uid="{497E73FD-5EF9-442B-956A-F6E3D37CA0FA}" name="Category" dataDxfId="11"/>
    <tableColumn id="3" xr3:uid="{9D5FF6CF-0ACC-4C5B-8C34-8E4660914DA0}" name="First Monday" dataDxfId="10"/>
    <tableColumn id="4" xr3:uid="{601A6BF9-7CF3-4891-838D-FAADD0309C6B}" name="Second Monday" dataDxfId="9"/>
    <tableColumn id="5" xr3:uid="{0587694F-7EDD-4BE5-9AD5-22A7B8228A6C}" name="Third Monday" dataDxfId="8"/>
    <tableColumn id="6" xr3:uid="{C70AE699-6175-4BBB-844D-43F27835E1D7}" name="Fourth Monday" dataDxfId="7"/>
    <tableColumn id="7" xr3:uid="{4A1F45C2-D00B-410B-B541-B07340B2AA14}" name="Fifth Monday" dataDxfId="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4CF27BB-AB44-4943-939F-AC1AF6D4B973}" name="2022-10\Income" displayName="_2022_10\Income" ref="H42:J51" totalsRowShown="0" headerRowDxfId="5" dataDxfId="4" tableBorderDxfId="3">
  <autoFilter ref="H42:J51" xr:uid="{CBEC8C2F-5549-4B3F-927C-B3465789AE2F}"/>
  <tableColumns count="3">
    <tableColumn id="1" xr3:uid="{D8420147-B397-44DE-B6F7-7E2C51E9BC19}" name="Date" dataDxfId="2"/>
    <tableColumn id="2" xr3:uid="{F364452D-14A7-4130-A369-86224EED2FE0}" name="Source" dataDxfId="1"/>
    <tableColumn id="3" xr3:uid="{43D9B46C-B60F-4D0B-B837-CAAF84CFA68A}" name="Amou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07B6B-F54A-4F18-8C3A-6C11576F0F64}">
  <sheetPr codeName="Sheet2"/>
  <dimension ref="B2:N127"/>
  <sheetViews>
    <sheetView tabSelected="1" workbookViewId="0">
      <selection activeCell="H40" sqref="H40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Template</v>
      </c>
      <c r="D2" s="1" t="s">
        <v>22</v>
      </c>
      <c r="E2" t="e">
        <f ca="1">_xlfn.CONCAT(IF(RIGHT(C2,2)="01", VALUE(LEFT(C2,4))-1, LEFT(C2,4)), "-", IF(RIGHT(C2,2)="01","12",TEXT(VALUE(RIGHT(C2,2))-1,"00")))</f>
        <v>#VALUE!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/>
      <c r="F6" s="8"/>
      <c r="G6" s="8" t="s">
        <v>12</v>
      </c>
      <c r="H6" s="9">
        <v>300</v>
      </c>
      <c r="I6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6" s="9"/>
      <c r="K6" s="16" t="e">
        <f ca="1">SUMIF(INDIRECT("_" &amp; SUBSTITUTE($C$2,"-","_") &amp; "\Transactions[Category]"),Budgets[[#This Row],[Name]],INDIRECT("_" &amp; SUBSTITUTE($C$2,"-","_") &amp; "\Transactions[Amount]"))</f>
        <v>#REF!</v>
      </c>
      <c r="L6" s="16" t="e">
        <f ca="1">Budgets[[#This Row],[Amount]]+IF(NOT(Budgets[[#This Row],[Rollover From Last Month]]=""),Budgets[[#This Row],[Rollover From Last Month]],0)-Budgets[[#This Row],[Total Spent]]</f>
        <v>#VALUE!</v>
      </c>
    </row>
    <row r="7" spans="2:12" x14ac:dyDescent="0.25">
      <c r="B7" s="1" t="s">
        <v>7</v>
      </c>
      <c r="C7" s="7"/>
      <c r="F7" s="8"/>
      <c r="G7" s="8" t="s">
        <v>13</v>
      </c>
      <c r="H7" s="9">
        <v>350</v>
      </c>
      <c r="I7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7" s="9"/>
      <c r="K7" s="16" t="e">
        <f ca="1">SUMIF(INDIRECT("_" &amp; SUBSTITUTE($C$2,"-","_") &amp; "\Transactions[Category]"),Budgets[[#This Row],[Name]],INDIRECT("_" &amp; SUBSTITUTE($C$2,"-","_") &amp; "\Transactions[Amount]"))</f>
        <v>#REF!</v>
      </c>
      <c r="L7" s="16" t="e">
        <f ca="1">Budgets[[#This Row],[Amount]]+IF(NOT(Budgets[[#This Row],[Rollover From Last Month]]=""),Budgets[[#This Row],[Rollover From Last Month]],0)-Budgets[[#This Row],[Total Spent]]</f>
        <v>#REF!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200</v>
      </c>
      <c r="I8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8" s="9"/>
      <c r="K8" s="16" t="e">
        <f ca="1">SUMIF(INDIRECT("_" &amp; SUBSTITUTE($C$2,"-","_") &amp; "\Transactions[Category]"),Budgets[[#This Row],[Name]],INDIRECT("_" &amp; SUBSTITUTE($C$2,"-","_") &amp; "\Transactions[Amount]"))</f>
        <v>#REF!</v>
      </c>
      <c r="L8" s="16" t="e">
        <f ca="1">Budgets[[#This Row],[Amount]]+IF(NOT(Budgets[[#This Row],[Rollover From Last Month]]=""),Budgets[[#This Row],[Rollover From Last Month]],0)-Budgets[[#This Row],[Total Spent]]</f>
        <v>#VALUE!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135</v>
      </c>
      <c r="I9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9" s="9"/>
      <c r="K9" s="16" t="e">
        <f ca="1">SUMIF(INDIRECT("_" &amp; SUBSTITUTE($C$2,"-","_") &amp; "\Transactions[Category]"),Budgets[[#This Row],[Name]],INDIRECT("_" &amp; SUBSTITUTE($C$2,"-","_") &amp; "\Transactions[Amount]"))</f>
        <v>#REF!</v>
      </c>
      <c r="L9" s="16" t="e">
        <f ca="1">Budgets[[#This Row],[Amount]]+IF(NOT(Budgets[[#This Row],[Rollover From Last Month]]=""),Budgets[[#This Row],[Rollover From Last Month]],0)-Budgets[[#This Row],[Total Spent]]</f>
        <v>#REF!</v>
      </c>
    </row>
    <row r="10" spans="2:12" x14ac:dyDescent="0.25">
      <c r="F10" s="8"/>
      <c r="G10" s="8" t="s">
        <v>13</v>
      </c>
      <c r="H10" s="9">
        <v>200</v>
      </c>
      <c r="I10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0" s="9"/>
      <c r="K10" s="16" t="e">
        <f ca="1">SUMIF(INDIRECT("_" &amp; SUBSTITUTE($C$2,"-","_") &amp; "\Transactions[Category]"),Budgets[[#This Row],[Name]],INDIRECT("_" &amp; SUBSTITUTE($C$2,"-","_") &amp; "\Transactions[Amount]"))</f>
        <v>#REF!</v>
      </c>
      <c r="L10" s="16" t="e">
        <f ca="1">Budgets[[#This Row],[Amount]]+IF(NOT(Budgets[[#This Row],[Rollover From Last Month]]=""),Budgets[[#This Row],[Rollover From Last Month]],0)-Budgets[[#This Row],[Total Spent]]</f>
        <v>#REF!</v>
      </c>
    </row>
    <row r="11" spans="2:12" x14ac:dyDescent="0.25">
      <c r="B11" s="1" t="s">
        <v>39</v>
      </c>
      <c r="C11" s="3" t="e">
        <f ca="1">SUM(INDIRECT("_" &amp; SUBSTITUTE($C$2,"-","_") &amp; "\Budgets[Amount]"))</f>
        <v>#REF!</v>
      </c>
      <c r="F11" s="8"/>
      <c r="G11" s="8" t="s">
        <v>13</v>
      </c>
      <c r="H11" s="9">
        <v>200</v>
      </c>
      <c r="I11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1" s="9"/>
      <c r="K11" s="16" t="e">
        <f ca="1">SUMIF(INDIRECT("_" &amp; SUBSTITUTE($C$2,"-","_") &amp; "\Transactions[Category]"),Budgets[[#This Row],[Name]],INDIRECT("_" &amp; SUBSTITUTE($C$2,"-","_") &amp; "\Transactions[Amount]"))</f>
        <v>#REF!</v>
      </c>
      <c r="L11" s="16" t="e">
        <f ca="1">Budgets[[#This Row],[Amount]]+IF(NOT(Budgets[[#This Row],[Rollover From Last Month]]=""),Budgets[[#This Row],[Rollover From Last Month]],0)-Budgets[[#This Row],[Total Spent]]</f>
        <v>#REF!</v>
      </c>
    </row>
    <row r="12" spans="2:12" x14ac:dyDescent="0.25">
      <c r="B12" s="1" t="s">
        <v>15</v>
      </c>
      <c r="C12" s="4" t="e">
        <f ca="1">C9-C11</f>
        <v>#REF!</v>
      </c>
      <c r="F12" s="8"/>
      <c r="G12" s="8" t="s">
        <v>13</v>
      </c>
      <c r="H12" s="9">
        <v>600</v>
      </c>
      <c r="I12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2" s="9"/>
      <c r="K12" s="16" t="e">
        <f ca="1">SUMIF(INDIRECT("_" &amp; SUBSTITUTE($C$2,"-","_") &amp; "\Transactions[Category]"),Budgets[[#This Row],[Name]],INDIRECT("_" &amp; SUBSTITUTE($C$2,"-","_") &amp; "\Transactions[Amount]"))</f>
        <v>#REF!</v>
      </c>
      <c r="L12" s="16" t="e">
        <f ca="1">Budgets[[#This Row],[Amount]]+IF(NOT(Budgets[[#This Row],[Rollover From Last Month]]=""),Budgets[[#This Row],[Rollover From Last Month]],0)-Budgets[[#This Row],[Total Spent]]</f>
        <v>#REF!</v>
      </c>
    </row>
    <row r="13" spans="2:12" x14ac:dyDescent="0.25">
      <c r="B13" s="1" t="s">
        <v>24</v>
      </c>
      <c r="C13" s="5" t="e">
        <f ca="1">SUMIF(INDIRECT("_" &amp; SUBSTITUTE($C$2,"-","_") &amp; "\Budgets[Type]"), "=Saving", INDIRECT("_" &amp; SUBSTITUTE($C$2,"-","_") &amp; "\Budgets[Amount]"))</f>
        <v>#REF!</v>
      </c>
      <c r="F13" s="8"/>
      <c r="G13" s="8" t="s">
        <v>12</v>
      </c>
      <c r="H13" s="9">
        <v>300</v>
      </c>
      <c r="I13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3" s="9"/>
      <c r="K13" s="16" t="e">
        <f ca="1">SUMIF(INDIRECT("_" &amp; SUBSTITUTE($C$2,"-","_") &amp; "\Transactions[Category]"),Budgets[[#This Row],[Name]],INDIRECT("_" &amp; SUBSTITUTE($C$2,"-","_") &amp; "\Transactions[Amount]"))</f>
        <v>#REF!</v>
      </c>
      <c r="L13" s="16" t="e">
        <f ca="1">Budgets[[#This Row],[Amount]]+IF(NOT(Budgets[[#This Row],[Rollover From Last Month]]=""),Budgets[[#This Row],[Rollover From Last Month]],0)-Budgets[[#This Row],[Total Spent]]</f>
        <v>#VALUE!</v>
      </c>
    </row>
    <row r="14" spans="2:12" x14ac:dyDescent="0.25">
      <c r="F14" s="8"/>
      <c r="G14" s="8" t="s">
        <v>13</v>
      </c>
      <c r="H14" s="9">
        <v>1780</v>
      </c>
      <c r="I14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4" s="9"/>
      <c r="K14" s="16" t="e">
        <f ca="1">SUMIF(INDIRECT("_" &amp; SUBSTITUTE($C$2,"-","_") &amp; "\Transactions[Category]"),Budgets[[#This Row],[Name]],INDIRECT("_" &amp; SUBSTITUTE($C$2,"-","_") &amp; "\Transactions[Amount]"))</f>
        <v>#REF!</v>
      </c>
      <c r="L14" s="16" t="e">
        <f ca="1">Budgets[[#This Row],[Amount]]+IF(NOT(Budgets[[#This Row],[Rollover From Last Month]]=""),Budgets[[#This Row],[Rollover From Last Month]],0)-Budgets[[#This Row],[Total Spent]]</f>
        <v>#REF!</v>
      </c>
    </row>
    <row r="15" spans="2:12" x14ac:dyDescent="0.25">
      <c r="B15" s="1" t="s">
        <v>37</v>
      </c>
      <c r="C15" s="5" t="e">
        <f ca="1">SUM(INDIRECT("_" &amp; SUBSTITUTE($C$2,"-","_") &amp; "\Income[Amount]"))</f>
        <v>#REF!</v>
      </c>
      <c r="F15" s="8"/>
      <c r="G15" s="8" t="s">
        <v>12</v>
      </c>
      <c r="H15" s="9">
        <v>200</v>
      </c>
      <c r="I15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5" s="9"/>
      <c r="K15" s="16" t="e">
        <f ca="1">SUMIF(INDIRECT("_" &amp; SUBSTITUTE($C$2,"-","_") &amp; "\Transactions[Category]"),Budgets[[#This Row],[Name]],INDIRECT("_" &amp; SUBSTITUTE($C$2,"-","_") &amp; "\Transactions[Amount]"))</f>
        <v>#REF!</v>
      </c>
      <c r="L15" s="16" t="e">
        <f ca="1">Budgets[[#This Row],[Amount]]+IF(NOT(Budgets[[#This Row],[Rollover From Last Month]]=""),Budgets[[#This Row],[Rollover From Last Month]],0)-Budgets[[#This Row],[Total Spent]]</f>
        <v>#VALUE!</v>
      </c>
    </row>
    <row r="16" spans="2:12" x14ac:dyDescent="0.25">
      <c r="B16" s="1" t="s">
        <v>41</v>
      </c>
      <c r="C16" s="5" t="e">
        <f ca="1">C15-C11</f>
        <v>#REF!</v>
      </c>
      <c r="F16" s="8"/>
      <c r="G16" s="8" t="s">
        <v>13</v>
      </c>
      <c r="H16" s="9">
        <v>50</v>
      </c>
      <c r="I16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6" s="9"/>
      <c r="K16" s="16" t="e">
        <f ca="1">SUMIF(INDIRECT("_" &amp; SUBSTITUTE($C$2,"-","_") &amp; "\Transactions[Category]"),Budgets[[#This Row],[Name]],INDIRECT("_" &amp; SUBSTITUTE($C$2,"-","_") &amp; "\Transactions[Amount]"))</f>
        <v>#REF!</v>
      </c>
      <c r="L16" s="16" t="e">
        <f ca="1">Budgets[[#This Row],[Amount]]+IF(NOT(Budgets[[#This Row],[Rollover From Last Month]]=""),Budgets[[#This Row],[Rollover From Last Month]],0)-Budgets[[#This Row],[Total Spent]]</f>
        <v>#REF!</v>
      </c>
    </row>
    <row r="17" spans="2:14" x14ac:dyDescent="0.25">
      <c r="F17" s="8"/>
      <c r="G17" s="8" t="s">
        <v>12</v>
      </c>
      <c r="H17" s="9">
        <v>300</v>
      </c>
      <c r="I17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7" s="9"/>
      <c r="K17" s="16" t="e">
        <f ca="1">SUMIF(INDIRECT("_" &amp; SUBSTITUTE($C$2,"-","_") &amp; "\Transactions[Category]"),Budgets[[#This Row],[Name]],INDIRECT("_" &amp; SUBSTITUTE($C$2,"-","_") &amp; "\Transactions[Amount]"))</f>
        <v>#REF!</v>
      </c>
      <c r="L17" s="16" t="e">
        <f ca="1">Budgets[[#This Row],[Amount]]+IF(NOT(Budgets[[#This Row],[Rollover From Last Month]]=""),Budgets[[#This Row],[Rollover From Last Month]],0)-Budgets[[#This Row],[Total Spent]]</f>
        <v>#VALUE!</v>
      </c>
    </row>
    <row r="18" spans="2:14" x14ac:dyDescent="0.25">
      <c r="B18" s="1" t="s">
        <v>42</v>
      </c>
      <c r="C18" s="5" t="e">
        <f ca="1">SUM(INDIRECT("_" &amp; SUBSTITUTE($C$2,"-","_") &amp; "\Transactions[Amount]"))</f>
        <v>#REF!</v>
      </c>
      <c r="F18" s="8"/>
      <c r="G18" s="8" t="s">
        <v>12</v>
      </c>
      <c r="H18" s="9">
        <v>300</v>
      </c>
      <c r="I18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8" s="9"/>
      <c r="K18" s="16" t="e">
        <f ca="1">SUMIF(INDIRECT("_" &amp; SUBSTITUTE($C$2,"-","_") &amp; "\Transactions[Category]"),Budgets[[#This Row],[Name]],INDIRECT("_" &amp; SUBSTITUTE($C$2,"-","_") &amp; "\Transactions[Amount]"))</f>
        <v>#REF!</v>
      </c>
      <c r="L18" s="16" t="e">
        <f ca="1">Budgets[[#This Row],[Amount]]+IF(NOT(Budgets[[#This Row],[Rollover From Last Month]]=""),Budgets[[#This Row],[Rollover From Last Month]],0)-Budgets[[#This Row],[Total Spent]]</f>
        <v>#VALUE!</v>
      </c>
    </row>
    <row r="19" spans="2:14" x14ac:dyDescent="0.25">
      <c r="B19" s="1" t="s">
        <v>40</v>
      </c>
      <c r="C19" s="5" t="e">
        <f ca="1">C11-C18</f>
        <v>#REF!</v>
      </c>
      <c r="F19" s="8"/>
      <c r="G19" s="8" t="s">
        <v>12</v>
      </c>
      <c r="H19" s="9">
        <v>100</v>
      </c>
      <c r="I19" s="10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9" s="9"/>
      <c r="K19" s="16" t="e">
        <f ca="1">SUMIF(INDIRECT("_" &amp; SUBSTITUTE($C$2,"-","_") &amp; "\Transactions[Category]"),Budgets[[#This Row],[Name]],INDIRECT("_" &amp; SUBSTITUTE($C$2,"-","_") &amp; "\Transactions[Amount]"))</f>
        <v>#REF!</v>
      </c>
      <c r="L19" s="16" t="e">
        <f ca="1">Budgets[[#This Row],[Amount]]+IF(NOT(Budgets[[#This Row],[Rollover From Last Month]]=""),Budgets[[#This Row],[Rollover From Last Month]],0)-Budgets[[#This Row],[Total Spent]]</f>
        <v>#VALUE!</v>
      </c>
    </row>
    <row r="20" spans="2:14" x14ac:dyDescent="0.25">
      <c r="F20" s="8"/>
      <c r="G20" s="8" t="s">
        <v>25</v>
      </c>
      <c r="H20" s="9">
        <v>0</v>
      </c>
      <c r="I20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0" s="9"/>
      <c r="K20" s="16" t="e">
        <f ca="1">SUMIF(INDIRECT("_" &amp; SUBSTITUTE($C$2,"-","_") &amp; "\Transactions[Category]"),Budgets[[#This Row],[Name]],INDIRECT("_" &amp; SUBSTITUTE($C$2,"-","_") &amp; "\Transactions[Amount]"))</f>
        <v>#REF!</v>
      </c>
      <c r="L20" s="16" t="e">
        <f ca="1">Budgets[[#This Row],[Amount]]+IF(NOT(Budgets[[#This Row],[Rollover From Last Month]]=""),Budgets[[#This Row],[Rollover From Last Month]],0)-Budgets[[#This Row],[Total Spent]]</f>
        <v>#REF!</v>
      </c>
    </row>
    <row r="21" spans="2:14" x14ac:dyDescent="0.25">
      <c r="F21" s="12"/>
      <c r="G21" s="12" t="s">
        <v>13</v>
      </c>
      <c r="H21" s="14">
        <v>750</v>
      </c>
      <c r="I21" s="15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1" s="14"/>
      <c r="K21" s="17" t="e">
        <f ca="1">SUMIF(INDIRECT("_" &amp; SUBSTITUTE($C$2,"-","_") &amp; "\Transactions[Category]"),Budgets[[#This Row],[Name]],INDIRECT("_" &amp; SUBSTITUTE($C$2,"-","_") &amp; "\Transactions[Amount]"))</f>
        <v>#REF!</v>
      </c>
      <c r="L21" s="17" t="e">
        <f ca="1">Budgets[[#This Row],[Amount]]+IF(NOT(Budgets[[#This Row],[Rollover From Last Month]]=""),Budgets[[#This Row],[Rollover From Last Month]],0)-Budgets[[#This Row],[Total Spent]]</f>
        <v>#REF!</v>
      </c>
    </row>
    <row r="22" spans="2:14" x14ac:dyDescent="0.25">
      <c r="F22" s="8"/>
      <c r="G22" s="8" t="s">
        <v>13</v>
      </c>
      <c r="H22" s="9">
        <v>200</v>
      </c>
      <c r="I22" s="10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2" s="9"/>
      <c r="K22" s="16" t="e">
        <f ca="1">SUMIF(INDIRECT("_" &amp; SUBSTITUTE($C$2,"-","_") &amp; "\Transactions[Category]"),Budgets[[#This Row],[Name]],INDIRECT("_" &amp; SUBSTITUTE($C$2,"-","_") &amp; "\Transactions[Amount]"))</f>
        <v>#REF!</v>
      </c>
      <c r="L22" s="16" t="e">
        <f ca="1">Budgets[[#This Row],[Amount]]+IF(NOT(Budgets[[#This Row],[Rollover From Last Month]]=""),Budgets[[#This Row],[Rollover From Last Month]],0)-Budgets[[#This Row],[Total Spent]]</f>
        <v>#REF!</v>
      </c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9"/>
      <c r="K34" s="9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  <c r="H36" s="12"/>
      <c r="I36" s="12" t="s">
        <v>43</v>
      </c>
      <c r="J36" s="14"/>
      <c r="K36" s="14"/>
      <c r="L36" s="14"/>
      <c r="M36" s="14"/>
      <c r="N36" s="14"/>
    </row>
    <row r="37" spans="2:14" x14ac:dyDescent="0.25">
      <c r="B37" s="11"/>
      <c r="C37" s="8"/>
      <c r="D37" s="8"/>
      <c r="E37" s="8"/>
      <c r="F37" s="9"/>
      <c r="H37" s="12"/>
      <c r="I37" s="12" t="s">
        <v>43</v>
      </c>
      <c r="J37" s="14"/>
      <c r="K37" s="14"/>
      <c r="L37" s="14"/>
      <c r="M37" s="14"/>
      <c r="N37" s="14"/>
    </row>
    <row r="38" spans="2:14" x14ac:dyDescent="0.25">
      <c r="B38" s="11"/>
      <c r="C38" s="8"/>
      <c r="D38" s="8"/>
      <c r="E38" s="8"/>
      <c r="F38" s="9"/>
      <c r="H38" s="12"/>
      <c r="I38" s="12" t="s">
        <v>43</v>
      </c>
      <c r="J38" s="14"/>
      <c r="K38" s="14"/>
      <c r="L38" s="14"/>
      <c r="M38" s="14"/>
      <c r="N38" s="14"/>
    </row>
    <row r="39" spans="2:14" x14ac:dyDescent="0.25">
      <c r="B39" s="11"/>
      <c r="C39" s="8"/>
      <c r="D39" s="8"/>
      <c r="E39" s="8"/>
      <c r="F39" s="9"/>
      <c r="H39" s="12"/>
      <c r="I39" s="12" t="s">
        <v>34</v>
      </c>
      <c r="J39" s="14"/>
      <c r="K39" s="14"/>
      <c r="L39" s="14"/>
      <c r="M39" s="14"/>
      <c r="N39" s="14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 autoFilter="0"/>
  <dataValidations count="4">
    <dataValidation type="list" showInputMessage="1" showErrorMessage="1" sqref="G6:G19" xr:uid="{A5A8AC4E-6E64-4EC6-9292-46C49FE1C24C}">
      <formula1>"Rolling,Fixed"</formula1>
    </dataValidation>
    <dataValidation type="list" showInputMessage="1" showErrorMessage="1" sqref="G20" xr:uid="{D0980A88-C1DA-4657-85DC-603FB5C0AC53}">
      <formula1>"Rolling,Fixed,Saving"</formula1>
    </dataValidation>
    <dataValidation type="list" allowBlank="1" showInputMessage="1" showErrorMessage="1" sqref="E27:E127" xr:uid="{83C6A7DC-733D-462A-A213-5BD1644CFC7B}">
      <formula1>INDIRECT("_" &amp; SUBSTITUTE($C$2,"-","_") &amp; "\Budgets[Name]")</formula1>
    </dataValidation>
    <dataValidation type="list" allowBlank="1" showInputMessage="1" showErrorMessage="1" sqref="I27:I39" xr:uid="{7B010E57-67ED-4069-A52A-0FFF2A549FD2}">
      <formula1>"Spending,Reserve,Savings,Loan,Safety Net,Retirement"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5BBB-9FB7-4354-A747-AA4CCE666EB6}">
  <sheetPr codeName="Sheet7"/>
  <dimension ref="B2:N127"/>
  <sheetViews>
    <sheetView workbookViewId="0">
      <selection activeCell="C7" sqref="C7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2023-02</v>
      </c>
      <c r="D2" s="1" t="s">
        <v>22</v>
      </c>
      <c r="E2" t="str">
        <f ca="1">_xlfn.CONCAT(IF(RIGHT(C2,2)="01", VALUE(LEFT(C2,4))-1, LEFT(C2,4)), "-", IF(RIGHT(C2,2)="01","12",TEXT(VALUE(RIGHT(C2,2))-1,"00")))</f>
        <v>2023-01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>
        <v>0</v>
      </c>
      <c r="F6" s="8"/>
      <c r="G6" s="8" t="s">
        <v>12</v>
      </c>
      <c r="H6" s="9">
        <v>300</v>
      </c>
      <c r="I6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6" s="9"/>
      <c r="K6" s="16">
        <f ca="1">SUMIF(INDIRECT("_" &amp; SUBSTITUTE($C$2,"-","_") &amp; "\Transactions[Category]"),_2023_02\Budgets[[#This Row],[Name]],INDIRECT("_" &amp; SUBSTITUTE($C$2,"-","_") &amp; "\Transactions[Amount]"))</f>
        <v>0</v>
      </c>
      <c r="L6" s="16">
        <f ca="1">_2023_02\Budgets[[#This Row],[Amount]]+IF(NOT(_2023_02\Budgets[[#This Row],[Rollover From Last Month]]=""),_2023_02\Budgets[[#This Row],[Rollover From Last Month]],0)-_2023_02\Budgets[[#This Row],[Total Spent]]</f>
        <v>300</v>
      </c>
    </row>
    <row r="7" spans="2:12" x14ac:dyDescent="0.25">
      <c r="B7" s="1" t="s">
        <v>7</v>
      </c>
      <c r="C7" s="7">
        <f>0.06*C5</f>
        <v>0</v>
      </c>
      <c r="F7" s="8"/>
      <c r="G7" s="8" t="s">
        <v>13</v>
      </c>
      <c r="H7" s="9">
        <v>350</v>
      </c>
      <c r="I7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7" s="9"/>
      <c r="K7" s="16">
        <f ca="1">SUMIF(INDIRECT("_" &amp; SUBSTITUTE($C$2,"-","_") &amp; "\Transactions[Category]"),_2023_02\Budgets[[#This Row],[Name]],INDIRECT("_" &amp; SUBSTITUTE($C$2,"-","_") &amp; "\Transactions[Amount]"))</f>
        <v>0</v>
      </c>
      <c r="L7" s="16">
        <f ca="1">_2023_02\Budgets[[#This Row],[Amount]]+IF(NOT(_2023_02\Budgets[[#This Row],[Rollover From Last Month]]=""),_2023_02\Budgets[[#This Row],[Rollover From Last Month]],0)-_2023_02\Budgets[[#This Row],[Total Spent]]</f>
        <v>350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200</v>
      </c>
      <c r="I8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8" s="9"/>
      <c r="K8" s="16">
        <f ca="1">SUMIF(INDIRECT("_" &amp; SUBSTITUTE($C$2,"-","_") &amp; "\Transactions[Category]"),_2023_02\Budgets[[#This Row],[Name]],INDIRECT("_" &amp; SUBSTITUTE($C$2,"-","_") &amp; "\Transactions[Amount]"))</f>
        <v>0</v>
      </c>
      <c r="L8" s="16">
        <f ca="1">_2023_02\Budgets[[#This Row],[Amount]]+IF(NOT(_2023_02\Budgets[[#This Row],[Rollover From Last Month]]=""),_2023_02\Budgets[[#This Row],[Rollover From Last Month]],0)-_2023_02\Budgets[[#This Row],[Total Spent]]</f>
        <v>200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135</v>
      </c>
      <c r="I9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9" s="9"/>
      <c r="K9" s="16">
        <f ca="1">SUMIF(INDIRECT("_" &amp; SUBSTITUTE($C$2,"-","_") &amp; "\Transactions[Category]"),_2023_02\Budgets[[#This Row],[Name]],INDIRECT("_" &amp; SUBSTITUTE($C$2,"-","_") &amp; "\Transactions[Amount]"))</f>
        <v>0</v>
      </c>
      <c r="L9" s="16">
        <f ca="1">_2023_02\Budgets[[#This Row],[Amount]]+IF(NOT(_2023_02\Budgets[[#This Row],[Rollover From Last Month]]=""),_2023_02\Budgets[[#This Row],[Rollover From Last Month]],0)-_2023_02\Budgets[[#This Row],[Total Spent]]</f>
        <v>135</v>
      </c>
    </row>
    <row r="10" spans="2:12" x14ac:dyDescent="0.25">
      <c r="F10" s="8"/>
      <c r="G10" s="8" t="s">
        <v>13</v>
      </c>
      <c r="H10" s="9">
        <v>200</v>
      </c>
      <c r="I10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10" s="9"/>
      <c r="K10" s="16">
        <f ca="1">SUMIF(INDIRECT("_" &amp; SUBSTITUTE($C$2,"-","_") &amp; "\Transactions[Category]"),_2023_02\Budgets[[#This Row],[Name]],INDIRECT("_" &amp; SUBSTITUTE($C$2,"-","_") &amp; "\Transactions[Amount]"))</f>
        <v>0</v>
      </c>
      <c r="L10" s="16">
        <f ca="1">_2023_02\Budgets[[#This Row],[Amount]]+IF(NOT(_2023_02\Budgets[[#This Row],[Rollover From Last Month]]=""),_2023_02\Budgets[[#This Row],[Rollover From Last Month]],0)-_2023_02\Budgets[[#This Row],[Total Spent]]</f>
        <v>200</v>
      </c>
    </row>
    <row r="11" spans="2:12" x14ac:dyDescent="0.25">
      <c r="B11" s="1" t="s">
        <v>39</v>
      </c>
      <c r="C11" s="3">
        <f ca="1">SUM(INDIRECT("_" &amp; SUBSTITUTE($C$2,"-","_") &amp; "\Budgets[Amount]"))</f>
        <v>5965</v>
      </c>
      <c r="F11" s="8"/>
      <c r="G11" s="8" t="s">
        <v>13</v>
      </c>
      <c r="H11" s="9">
        <v>200</v>
      </c>
      <c r="I11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11" s="9"/>
      <c r="K11" s="16">
        <f ca="1">SUMIF(INDIRECT("_" &amp; SUBSTITUTE($C$2,"-","_") &amp; "\Transactions[Category]"),_2023_02\Budgets[[#This Row],[Name]],INDIRECT("_" &amp; SUBSTITUTE($C$2,"-","_") &amp; "\Transactions[Amount]"))</f>
        <v>0</v>
      </c>
      <c r="L11" s="16">
        <f ca="1">_2023_02\Budgets[[#This Row],[Amount]]+IF(NOT(_2023_02\Budgets[[#This Row],[Rollover From Last Month]]=""),_2023_02\Budgets[[#This Row],[Rollover From Last Month]],0)-_2023_02\Budgets[[#This Row],[Total Spent]]</f>
        <v>200</v>
      </c>
    </row>
    <row r="12" spans="2:12" x14ac:dyDescent="0.25">
      <c r="B12" s="1" t="s">
        <v>15</v>
      </c>
      <c r="C12" s="4">
        <f ca="1">C9-C11</f>
        <v>-5965</v>
      </c>
      <c r="F12" s="8"/>
      <c r="G12" s="8" t="s">
        <v>13</v>
      </c>
      <c r="H12" s="9">
        <v>600</v>
      </c>
      <c r="I12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12" s="9"/>
      <c r="K12" s="16">
        <f ca="1">SUMIF(INDIRECT("_" &amp; SUBSTITUTE($C$2,"-","_") &amp; "\Transactions[Category]"),_2023_02\Budgets[[#This Row],[Name]],INDIRECT("_" &amp; SUBSTITUTE($C$2,"-","_") &amp; "\Transactions[Amount]"))</f>
        <v>0</v>
      </c>
      <c r="L12" s="16">
        <f ca="1">_2023_02\Budgets[[#This Row],[Amount]]+IF(NOT(_2023_02\Budgets[[#This Row],[Rollover From Last Month]]=""),_2023_02\Budgets[[#This Row],[Rollover From Last Month]],0)-_2023_02\Budgets[[#This Row],[Total Spent]]</f>
        <v>600</v>
      </c>
    </row>
    <row r="13" spans="2:12" x14ac:dyDescent="0.25">
      <c r="B13" s="1" t="s">
        <v>24</v>
      </c>
      <c r="C13" s="5">
        <f ca="1">SUMIF(INDIRECT("_" &amp; SUBSTITUTE($C$2,"-","_") &amp; "\Budgets[Type]"), "=Saving", INDIRECT("_" &amp; SUBSTITUTE($C$2,"-","_") &amp; "\Budgets[Amount]"))</f>
        <v>0</v>
      </c>
      <c r="F13" s="8"/>
      <c r="G13" s="8" t="s">
        <v>12</v>
      </c>
      <c r="H13" s="9">
        <v>300</v>
      </c>
      <c r="I13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13" s="9"/>
      <c r="K13" s="16">
        <f ca="1">SUMIF(INDIRECT("_" &amp; SUBSTITUTE($C$2,"-","_") &amp; "\Transactions[Category]"),_2023_02\Budgets[[#This Row],[Name]],INDIRECT("_" &amp; SUBSTITUTE($C$2,"-","_") &amp; "\Transactions[Amount]"))</f>
        <v>0</v>
      </c>
      <c r="L13" s="16">
        <f ca="1">_2023_02\Budgets[[#This Row],[Amount]]+IF(NOT(_2023_02\Budgets[[#This Row],[Rollover From Last Month]]=""),_2023_02\Budgets[[#This Row],[Rollover From Last Month]],0)-_2023_02\Budgets[[#This Row],[Total Spent]]</f>
        <v>300</v>
      </c>
    </row>
    <row r="14" spans="2:12" x14ac:dyDescent="0.25">
      <c r="F14" s="8"/>
      <c r="G14" s="8" t="s">
        <v>13</v>
      </c>
      <c r="H14" s="9">
        <v>1780</v>
      </c>
      <c r="I14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14" s="9"/>
      <c r="K14" s="16">
        <f ca="1">SUMIF(INDIRECT("_" &amp; SUBSTITUTE($C$2,"-","_") &amp; "\Transactions[Category]"),_2023_02\Budgets[[#This Row],[Name]],INDIRECT("_" &amp; SUBSTITUTE($C$2,"-","_") &amp; "\Transactions[Amount]"))</f>
        <v>0</v>
      </c>
      <c r="L14" s="16">
        <f ca="1">_2023_02\Budgets[[#This Row],[Amount]]+IF(NOT(_2023_02\Budgets[[#This Row],[Rollover From Last Month]]=""),_2023_02\Budgets[[#This Row],[Rollover From Last Month]],0)-_2023_02\Budgets[[#This Row],[Total Spent]]</f>
        <v>1780</v>
      </c>
    </row>
    <row r="15" spans="2:12" x14ac:dyDescent="0.25">
      <c r="B15" s="1" t="s">
        <v>37</v>
      </c>
      <c r="C15" s="5">
        <f ca="1">SUM(INDIRECT("_" &amp; SUBSTITUTE($C$2,"-","_") &amp; "\Income[Amount]"))</f>
        <v>0</v>
      </c>
      <c r="F15" s="8"/>
      <c r="G15" s="8" t="s">
        <v>12</v>
      </c>
      <c r="H15" s="9">
        <v>200</v>
      </c>
      <c r="I15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15" s="9"/>
      <c r="K15" s="16">
        <f ca="1">SUMIF(INDIRECT("_" &amp; SUBSTITUTE($C$2,"-","_") &amp; "\Transactions[Category]"),_2023_02\Budgets[[#This Row],[Name]],INDIRECT("_" &amp; SUBSTITUTE($C$2,"-","_") &amp; "\Transactions[Amount]"))</f>
        <v>0</v>
      </c>
      <c r="L15" s="16">
        <f ca="1">_2023_02\Budgets[[#This Row],[Amount]]+IF(NOT(_2023_02\Budgets[[#This Row],[Rollover From Last Month]]=""),_2023_02\Budgets[[#This Row],[Rollover From Last Month]],0)-_2023_02\Budgets[[#This Row],[Total Spent]]</f>
        <v>200</v>
      </c>
    </row>
    <row r="16" spans="2:12" x14ac:dyDescent="0.25">
      <c r="B16" s="1" t="s">
        <v>41</v>
      </c>
      <c r="C16" s="5">
        <f ca="1">C15-C11</f>
        <v>-5965</v>
      </c>
      <c r="F16" s="8"/>
      <c r="G16" s="8" t="s">
        <v>13</v>
      </c>
      <c r="H16" s="9">
        <v>50</v>
      </c>
      <c r="I16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16" s="9"/>
      <c r="K16" s="16">
        <f ca="1">SUMIF(INDIRECT("_" &amp; SUBSTITUTE($C$2,"-","_") &amp; "\Transactions[Category]"),_2023_02\Budgets[[#This Row],[Name]],INDIRECT("_" &amp; SUBSTITUTE($C$2,"-","_") &amp; "\Transactions[Amount]"))</f>
        <v>0</v>
      </c>
      <c r="L16" s="16">
        <f ca="1">_2023_02\Budgets[[#This Row],[Amount]]+IF(NOT(_2023_02\Budgets[[#This Row],[Rollover From Last Month]]=""),_2023_02\Budgets[[#This Row],[Rollover From Last Month]],0)-_2023_02\Budgets[[#This Row],[Total Spent]]</f>
        <v>50</v>
      </c>
    </row>
    <row r="17" spans="2:14" x14ac:dyDescent="0.25">
      <c r="F17" s="8"/>
      <c r="G17" s="8" t="s">
        <v>12</v>
      </c>
      <c r="H17" s="9">
        <v>300</v>
      </c>
      <c r="I17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17" s="9"/>
      <c r="K17" s="16">
        <f ca="1">SUMIF(INDIRECT("_" &amp; SUBSTITUTE($C$2,"-","_") &amp; "\Transactions[Category]"),_2023_02\Budgets[[#This Row],[Name]],INDIRECT("_" &amp; SUBSTITUTE($C$2,"-","_") &amp; "\Transactions[Amount]"))</f>
        <v>0</v>
      </c>
      <c r="L17" s="16">
        <f ca="1">_2023_02\Budgets[[#This Row],[Amount]]+IF(NOT(_2023_02\Budgets[[#This Row],[Rollover From Last Month]]=""),_2023_02\Budgets[[#This Row],[Rollover From Last Month]],0)-_2023_02\Budgets[[#This Row],[Total Spent]]</f>
        <v>300</v>
      </c>
    </row>
    <row r="18" spans="2:14" x14ac:dyDescent="0.25">
      <c r="B18" s="1" t="s">
        <v>42</v>
      </c>
      <c r="C18" s="5">
        <f ca="1">SUM(INDIRECT("_" &amp; SUBSTITUTE($C$2,"-","_") &amp; "\Transactions[Amount]"))</f>
        <v>0</v>
      </c>
      <c r="F18" s="8"/>
      <c r="G18" s="8" t="s">
        <v>12</v>
      </c>
      <c r="H18" s="9">
        <v>300</v>
      </c>
      <c r="I18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18" s="9"/>
      <c r="K18" s="16">
        <f ca="1">SUMIF(INDIRECT("_" &amp; SUBSTITUTE($C$2,"-","_") &amp; "\Transactions[Category]"),_2023_02\Budgets[[#This Row],[Name]],INDIRECT("_" &amp; SUBSTITUTE($C$2,"-","_") &amp; "\Transactions[Amount]"))</f>
        <v>0</v>
      </c>
      <c r="L18" s="16">
        <f ca="1">_2023_02\Budgets[[#This Row],[Amount]]+IF(NOT(_2023_02\Budgets[[#This Row],[Rollover From Last Month]]=""),_2023_02\Budgets[[#This Row],[Rollover From Last Month]],0)-_2023_02\Budgets[[#This Row],[Total Spent]]</f>
        <v>300</v>
      </c>
    </row>
    <row r="19" spans="2:14" x14ac:dyDescent="0.25">
      <c r="B19" s="1" t="s">
        <v>40</v>
      </c>
      <c r="C19" s="5">
        <f ca="1">C11-C18</f>
        <v>5965</v>
      </c>
      <c r="F19" s="8"/>
      <c r="G19" s="8" t="s">
        <v>12</v>
      </c>
      <c r="H19" s="9">
        <v>100</v>
      </c>
      <c r="I19" s="10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>0</v>
      </c>
      <c r="J19" s="9"/>
      <c r="K19" s="16">
        <f ca="1">SUMIF(INDIRECT("_" &amp; SUBSTITUTE($C$2,"-","_") &amp; "\Transactions[Category]"),_2023_02\Budgets[[#This Row],[Name]],INDIRECT("_" &amp; SUBSTITUTE($C$2,"-","_") &amp; "\Transactions[Amount]"))</f>
        <v>0</v>
      </c>
      <c r="L19" s="16">
        <f ca="1">_2023_02\Budgets[[#This Row],[Amount]]+IF(NOT(_2023_02\Budgets[[#This Row],[Rollover From Last Month]]=""),_2023_02\Budgets[[#This Row],[Rollover From Last Month]],0)-_2023_02\Budgets[[#This Row],[Total Spent]]</f>
        <v>100</v>
      </c>
    </row>
    <row r="20" spans="2:14" x14ac:dyDescent="0.25">
      <c r="F20" s="8"/>
      <c r="G20" s="8" t="s">
        <v>25</v>
      </c>
      <c r="H20" s="9">
        <v>0</v>
      </c>
      <c r="I20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20" s="9"/>
      <c r="K20" s="16">
        <f ca="1">SUMIF(INDIRECT("_" &amp; SUBSTITUTE($C$2,"-","_") &amp; "\Transactions[Category]"),_2023_02\Budgets[[#This Row],[Name]],INDIRECT("_" &amp; SUBSTITUTE($C$2,"-","_") &amp; "\Transactions[Amount]"))</f>
        <v>0</v>
      </c>
      <c r="L20" s="16">
        <f ca="1">_2023_02\Budgets[[#This Row],[Amount]]+IF(NOT(_2023_02\Budgets[[#This Row],[Rollover From Last Month]]=""),_2023_02\Budgets[[#This Row],[Rollover From Last Month]],0)-_2023_02\Budgets[[#This Row],[Total Spent]]</f>
        <v>0</v>
      </c>
    </row>
    <row r="21" spans="2:14" x14ac:dyDescent="0.25">
      <c r="F21" s="12"/>
      <c r="G21" s="12" t="s">
        <v>13</v>
      </c>
      <c r="H21" s="14">
        <v>750</v>
      </c>
      <c r="I21" s="15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21" s="14"/>
      <c r="K21" s="17">
        <f ca="1">SUMIF(INDIRECT("_" &amp; SUBSTITUTE($C$2,"-","_") &amp; "\Transactions[Category]"),_2023_02\Budgets[[#This Row],[Name]],INDIRECT("_" &amp; SUBSTITUTE($C$2,"-","_") &amp; "\Transactions[Amount]"))</f>
        <v>0</v>
      </c>
      <c r="L21" s="17">
        <f ca="1">_2023_02\Budgets[[#This Row],[Amount]]+IF(NOT(_2023_02\Budgets[[#This Row],[Rollover From Last Month]]=""),_2023_02\Budgets[[#This Row],[Rollover From Last Month]],0)-_2023_02\Budgets[[#This Row],[Total Spent]]</f>
        <v>750</v>
      </c>
    </row>
    <row r="22" spans="2:14" x14ac:dyDescent="0.25">
      <c r="F22" s="8"/>
      <c r="G22" s="8" t="s">
        <v>13</v>
      </c>
      <c r="H22" s="9">
        <v>200</v>
      </c>
      <c r="I22" s="10" t="str">
        <f ca="1">IF(_2023_02\Budgets[[#This Row],[Type]]&lt;&gt;"Rolling", "", IF(NOT(ISBLANK(_2023_02\Budgets[[#This Row],[Override Rollover Amount]])), _2023_02\Budgets[[#This Row],[Override Rollover Amount]], SUMIF(INDIRECT("_" &amp; SUBSTITUTE($E$2,"-","_") &amp; "\Budgets[Name]"),_2023_02\Budgets[[#This Row],[Name]],INDIRECT("_" &amp; SUBSTITUTE($E$2,"-","_") &amp; "\Budgets[Remaining Budget]"))))</f>
        <v/>
      </c>
      <c r="J22" s="9"/>
      <c r="K22" s="16">
        <f ca="1">SUMIF(INDIRECT("_" &amp; SUBSTITUTE($C$2,"-","_") &amp; "\Transactions[Category]"),_2023_02\Budgets[[#This Row],[Name]],INDIRECT("_" &amp; SUBSTITUTE($C$2,"-","_") &amp; "\Transactions[Amount]"))</f>
        <v>0</v>
      </c>
      <c r="L22" s="16">
        <f ca="1">_2023_02\Budgets[[#This Row],[Amount]]+IF(NOT(_2023_02\Budgets[[#This Row],[Rollover From Last Month]]=""),_2023_02\Budgets[[#This Row],[Rollover From Last Month]],0)-_2023_02\Budgets[[#This Row],[Total Spent]]</f>
        <v>200</v>
      </c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9"/>
      <c r="K34" s="9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  <c r="H36" s="12"/>
      <c r="I36" s="12" t="s">
        <v>43</v>
      </c>
      <c r="J36" s="14"/>
      <c r="K36" s="14"/>
      <c r="L36" s="14"/>
      <c r="M36" s="14"/>
      <c r="N36" s="14"/>
    </row>
    <row r="37" spans="2:14" x14ac:dyDescent="0.25">
      <c r="B37" s="11"/>
      <c r="C37" s="8"/>
      <c r="D37" s="8"/>
      <c r="E37" s="8"/>
      <c r="F37" s="9"/>
      <c r="H37" s="12"/>
      <c r="I37" s="12" t="s">
        <v>43</v>
      </c>
      <c r="J37" s="14"/>
      <c r="K37" s="14"/>
      <c r="L37" s="14"/>
      <c r="M37" s="14"/>
      <c r="N37" s="14"/>
    </row>
    <row r="38" spans="2:14" x14ac:dyDescent="0.25">
      <c r="B38" s="11"/>
      <c r="C38" s="8"/>
      <c r="D38" s="8"/>
      <c r="E38" s="8"/>
      <c r="F38" s="9"/>
      <c r="H38" s="12"/>
      <c r="I38" s="12" t="s">
        <v>43</v>
      </c>
      <c r="J38" s="14"/>
      <c r="K38" s="14"/>
      <c r="L38" s="14"/>
      <c r="M38" s="14"/>
      <c r="N38" s="14"/>
    </row>
    <row r="39" spans="2:14" x14ac:dyDescent="0.25">
      <c r="B39" s="11"/>
      <c r="C39" s="8"/>
      <c r="D39" s="8"/>
      <c r="E39" s="8"/>
      <c r="F39" s="9"/>
      <c r="H39" s="12"/>
      <c r="I39" s="12" t="s">
        <v>34</v>
      </c>
      <c r="J39" s="14"/>
      <c r="K39" s="14"/>
      <c r="L39" s="14"/>
      <c r="M39" s="14"/>
      <c r="N39" s="14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 autoFilter="0"/>
  <dataValidations count="4">
    <dataValidation type="list" allowBlank="1" showInputMessage="1" showErrorMessage="1" sqref="I27:I39" xr:uid="{E584F54C-2FB2-4501-AA88-177928EC36B4}">
      <formula1>"Spending,Reserve,Savings,Loan,Safety Net,Retirement"</formula1>
    </dataValidation>
    <dataValidation type="list" allowBlank="1" showInputMessage="1" showErrorMessage="1" sqref="E27:E127" xr:uid="{D042AF14-9AC6-444A-BE25-E5DA12EA08C5}">
      <formula1>INDIRECT("_" &amp; SUBSTITUTE($C$2,"-","_") &amp; "\Budgets[Name]")</formula1>
    </dataValidation>
    <dataValidation type="list" showInputMessage="1" showErrorMessage="1" sqref="G20" xr:uid="{0421AB4B-C07B-45AB-9062-86E8E335347E}">
      <formula1>"Rolling,Fixed,Saving"</formula1>
    </dataValidation>
    <dataValidation type="list" showInputMessage="1" showErrorMessage="1" sqref="G6:G19" xr:uid="{99FF47C5-4211-4736-8410-ABC7C7CE3184}">
      <formula1>"Rolling,Fixed"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17BF3-2663-4630-AC6C-E5961F0FC803}">
  <sheetPr codeName="Sheet6"/>
  <dimension ref="B2:N127"/>
  <sheetViews>
    <sheetView zoomScaleNormal="100" workbookViewId="0">
      <selection activeCell="H43" sqref="H43:J45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2023-01</v>
      </c>
      <c r="D2" s="1" t="s">
        <v>22</v>
      </c>
      <c r="E2" t="str">
        <f ca="1">_xlfn.CONCAT(IF(RIGHT(C2,2)="01", VALUE(LEFT(C2,4))-1, LEFT(C2,4)), "-", IF(RIGHT(C2,2)="01","12",VALUE(RIGHT(C2,2))-1))</f>
        <v>2022-12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>
        <v>0</v>
      </c>
      <c r="F6" s="8"/>
      <c r="G6" s="8" t="s">
        <v>12</v>
      </c>
      <c r="H6" s="9">
        <v>300</v>
      </c>
      <c r="I6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6" s="9"/>
      <c r="K6" s="16">
        <f ca="1">SUMIF(INDIRECT("_" &amp; SUBSTITUTE($C$2,"-","_") &amp; "\Transactions[Category]"),_2023_01\Budgets[[#This Row],[Name]],INDIRECT("_" &amp; SUBSTITUTE($C$2,"-","_") &amp; "\Transactions[Amount]"))</f>
        <v>0</v>
      </c>
      <c r="L6" s="16">
        <f ca="1">_2023_01\Budgets[[#This Row],[Amount]]+IF(NOT(_2023_01\Budgets[[#This Row],[Rollover From Last Month]]=""),_2023_01\Budgets[[#This Row],[Rollover From Last Month]],0)-_2023_01\Budgets[[#This Row],[Total Spent]]</f>
        <v>300</v>
      </c>
    </row>
    <row r="7" spans="2:12" x14ac:dyDescent="0.25">
      <c r="B7" s="1" t="s">
        <v>7</v>
      </c>
      <c r="C7" s="7">
        <f>0.06*C5</f>
        <v>0</v>
      </c>
      <c r="F7" s="8"/>
      <c r="G7" s="8" t="s">
        <v>13</v>
      </c>
      <c r="H7" s="9">
        <v>350</v>
      </c>
      <c r="I7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7" s="9"/>
      <c r="K7" s="16">
        <f ca="1">SUMIF(INDIRECT("_" &amp; SUBSTITUTE($C$2,"-","_") &amp; "\Transactions[Category]"),_2023_01\Budgets[[#This Row],[Name]],INDIRECT("_" &amp; SUBSTITUTE($C$2,"-","_") &amp; "\Transactions[Amount]"))</f>
        <v>0</v>
      </c>
      <c r="L7" s="16">
        <f ca="1">_2023_01\Budgets[[#This Row],[Amount]]+IF(NOT(_2023_01\Budgets[[#This Row],[Rollover From Last Month]]=""),_2023_01\Budgets[[#This Row],[Rollover From Last Month]],0)-_2023_01\Budgets[[#This Row],[Total Spent]]</f>
        <v>350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200</v>
      </c>
      <c r="I8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8" s="9"/>
      <c r="K8" s="16">
        <f ca="1">SUMIF(INDIRECT("_" &amp; SUBSTITUTE($C$2,"-","_") &amp; "\Transactions[Category]"),_2023_01\Budgets[[#This Row],[Name]],INDIRECT("_" &amp; SUBSTITUTE($C$2,"-","_") &amp; "\Transactions[Amount]"))</f>
        <v>0</v>
      </c>
      <c r="L8" s="16">
        <f ca="1">_2023_01\Budgets[[#This Row],[Amount]]+IF(NOT(_2023_01\Budgets[[#This Row],[Rollover From Last Month]]=""),_2023_01\Budgets[[#This Row],[Rollover From Last Month]],0)-_2023_01\Budgets[[#This Row],[Total Spent]]</f>
        <v>200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135</v>
      </c>
      <c r="I9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9" s="9"/>
      <c r="K9" s="16">
        <f ca="1">SUMIF(INDIRECT("_" &amp; SUBSTITUTE($C$2,"-","_") &amp; "\Transactions[Category]"),_2023_01\Budgets[[#This Row],[Name]],INDIRECT("_" &amp; SUBSTITUTE($C$2,"-","_") &amp; "\Transactions[Amount]"))</f>
        <v>0</v>
      </c>
      <c r="L9" s="16">
        <f ca="1">_2023_01\Budgets[[#This Row],[Amount]]+IF(NOT(_2023_01\Budgets[[#This Row],[Rollover From Last Month]]=""),_2023_01\Budgets[[#This Row],[Rollover From Last Month]],0)-_2023_01\Budgets[[#This Row],[Total Spent]]</f>
        <v>135</v>
      </c>
    </row>
    <row r="10" spans="2:12" x14ac:dyDescent="0.25">
      <c r="F10" s="8"/>
      <c r="G10" s="8" t="s">
        <v>13</v>
      </c>
      <c r="H10" s="9">
        <v>200</v>
      </c>
      <c r="I10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10" s="9"/>
      <c r="K10" s="16">
        <f ca="1">SUMIF(INDIRECT("_" &amp; SUBSTITUTE($C$2,"-","_") &amp; "\Transactions[Category]"),_2023_01\Budgets[[#This Row],[Name]],INDIRECT("_" &amp; SUBSTITUTE($C$2,"-","_") &amp; "\Transactions[Amount]"))</f>
        <v>0</v>
      </c>
      <c r="L10" s="16">
        <f ca="1">_2023_01\Budgets[[#This Row],[Amount]]+IF(NOT(_2023_01\Budgets[[#This Row],[Rollover From Last Month]]=""),_2023_01\Budgets[[#This Row],[Rollover From Last Month]],0)-_2023_01\Budgets[[#This Row],[Total Spent]]</f>
        <v>200</v>
      </c>
    </row>
    <row r="11" spans="2:12" x14ac:dyDescent="0.25">
      <c r="B11" s="1" t="s">
        <v>39</v>
      </c>
      <c r="C11" s="3">
        <f ca="1">SUM(INDIRECT("_" &amp; SUBSTITUTE($C$2,"-","_") &amp; "\Budgets[Amount]"))</f>
        <v>5965</v>
      </c>
      <c r="F11" s="8"/>
      <c r="G11" s="8" t="s">
        <v>13</v>
      </c>
      <c r="H11" s="9">
        <v>200</v>
      </c>
      <c r="I11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11" s="9"/>
      <c r="K11" s="16">
        <f ca="1">SUMIF(INDIRECT("_" &amp; SUBSTITUTE($C$2,"-","_") &amp; "\Transactions[Category]"),_2023_01\Budgets[[#This Row],[Name]],INDIRECT("_" &amp; SUBSTITUTE($C$2,"-","_") &amp; "\Transactions[Amount]"))</f>
        <v>0</v>
      </c>
      <c r="L11" s="16">
        <f ca="1">_2023_01\Budgets[[#This Row],[Amount]]+IF(NOT(_2023_01\Budgets[[#This Row],[Rollover From Last Month]]=""),_2023_01\Budgets[[#This Row],[Rollover From Last Month]],0)-_2023_01\Budgets[[#This Row],[Total Spent]]</f>
        <v>200</v>
      </c>
    </row>
    <row r="12" spans="2:12" x14ac:dyDescent="0.25">
      <c r="B12" s="1" t="s">
        <v>15</v>
      </c>
      <c r="C12" s="4">
        <f ca="1">C9-C11</f>
        <v>-5965</v>
      </c>
      <c r="F12" s="8"/>
      <c r="G12" s="8" t="s">
        <v>13</v>
      </c>
      <c r="H12" s="9">
        <v>600</v>
      </c>
      <c r="I12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12" s="9"/>
      <c r="K12" s="16">
        <f ca="1">SUMIF(INDIRECT("_" &amp; SUBSTITUTE($C$2,"-","_") &amp; "\Transactions[Category]"),_2023_01\Budgets[[#This Row],[Name]],INDIRECT("_" &amp; SUBSTITUTE($C$2,"-","_") &amp; "\Transactions[Amount]"))</f>
        <v>0</v>
      </c>
      <c r="L12" s="16">
        <f ca="1">_2023_01\Budgets[[#This Row],[Amount]]+IF(NOT(_2023_01\Budgets[[#This Row],[Rollover From Last Month]]=""),_2023_01\Budgets[[#This Row],[Rollover From Last Month]],0)-_2023_01\Budgets[[#This Row],[Total Spent]]</f>
        <v>600</v>
      </c>
    </row>
    <row r="13" spans="2:12" x14ac:dyDescent="0.25">
      <c r="B13" s="1" t="s">
        <v>24</v>
      </c>
      <c r="C13" s="5">
        <f ca="1">SUMIF(INDIRECT("_" &amp; SUBSTITUTE($C$2,"-","_") &amp; "\Budgets[Type]"), "=Saving", INDIRECT("_" &amp; SUBSTITUTE($C$2,"-","_") &amp; "\Budgets[Amount]"))</f>
        <v>0</v>
      </c>
      <c r="F13" s="8"/>
      <c r="G13" s="8" t="s">
        <v>12</v>
      </c>
      <c r="H13" s="9">
        <v>300</v>
      </c>
      <c r="I13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13" s="9"/>
      <c r="K13" s="16">
        <f ca="1">SUMIF(INDIRECT("_" &amp; SUBSTITUTE($C$2,"-","_") &amp; "\Transactions[Category]"),_2023_01\Budgets[[#This Row],[Name]],INDIRECT("_" &amp; SUBSTITUTE($C$2,"-","_") &amp; "\Transactions[Amount]"))</f>
        <v>0</v>
      </c>
      <c r="L13" s="16">
        <f ca="1">_2023_01\Budgets[[#This Row],[Amount]]+IF(NOT(_2023_01\Budgets[[#This Row],[Rollover From Last Month]]=""),_2023_01\Budgets[[#This Row],[Rollover From Last Month]],0)-_2023_01\Budgets[[#This Row],[Total Spent]]</f>
        <v>300</v>
      </c>
    </row>
    <row r="14" spans="2:12" x14ac:dyDescent="0.25">
      <c r="F14" s="8"/>
      <c r="G14" s="8" t="s">
        <v>13</v>
      </c>
      <c r="H14" s="9">
        <v>1780</v>
      </c>
      <c r="I14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14" s="9"/>
      <c r="K14" s="16">
        <f ca="1">SUMIF(INDIRECT("_" &amp; SUBSTITUTE($C$2,"-","_") &amp; "\Transactions[Category]"),_2023_01\Budgets[[#This Row],[Name]],INDIRECT("_" &amp; SUBSTITUTE($C$2,"-","_") &amp; "\Transactions[Amount]"))</f>
        <v>0</v>
      </c>
      <c r="L14" s="16">
        <f ca="1">_2023_01\Budgets[[#This Row],[Amount]]+IF(NOT(_2023_01\Budgets[[#This Row],[Rollover From Last Month]]=""),_2023_01\Budgets[[#This Row],[Rollover From Last Month]],0)-_2023_01\Budgets[[#This Row],[Total Spent]]</f>
        <v>1780</v>
      </c>
    </row>
    <row r="15" spans="2:12" x14ac:dyDescent="0.25">
      <c r="B15" s="1" t="s">
        <v>37</v>
      </c>
      <c r="C15" s="5">
        <f ca="1">SUM(INDIRECT("_" &amp; SUBSTITUTE($C$2,"-","_") &amp; "\Income[Amount]"))</f>
        <v>0</v>
      </c>
      <c r="F15" s="8"/>
      <c r="G15" s="8" t="s">
        <v>12</v>
      </c>
      <c r="H15" s="9">
        <v>200</v>
      </c>
      <c r="I15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15" s="9"/>
      <c r="K15" s="16">
        <f ca="1">SUMIF(INDIRECT("_" &amp; SUBSTITUTE($C$2,"-","_") &amp; "\Transactions[Category]"),_2023_01\Budgets[[#This Row],[Name]],INDIRECT("_" &amp; SUBSTITUTE($C$2,"-","_") &amp; "\Transactions[Amount]"))</f>
        <v>0</v>
      </c>
      <c r="L15" s="16">
        <f ca="1">_2023_01\Budgets[[#This Row],[Amount]]+IF(NOT(_2023_01\Budgets[[#This Row],[Rollover From Last Month]]=""),_2023_01\Budgets[[#This Row],[Rollover From Last Month]],0)-_2023_01\Budgets[[#This Row],[Total Spent]]</f>
        <v>200</v>
      </c>
    </row>
    <row r="16" spans="2:12" x14ac:dyDescent="0.25">
      <c r="B16" s="1" t="s">
        <v>41</v>
      </c>
      <c r="C16" s="5">
        <f ca="1">C15-C11</f>
        <v>-5965</v>
      </c>
      <c r="F16" s="8"/>
      <c r="G16" s="8" t="s">
        <v>13</v>
      </c>
      <c r="H16" s="9">
        <v>50</v>
      </c>
      <c r="I16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16" s="9"/>
      <c r="K16" s="16">
        <f ca="1">SUMIF(INDIRECT("_" &amp; SUBSTITUTE($C$2,"-","_") &amp; "\Transactions[Category]"),_2023_01\Budgets[[#This Row],[Name]],INDIRECT("_" &amp; SUBSTITUTE($C$2,"-","_") &amp; "\Transactions[Amount]"))</f>
        <v>0</v>
      </c>
      <c r="L16" s="16">
        <f ca="1">_2023_01\Budgets[[#This Row],[Amount]]+IF(NOT(_2023_01\Budgets[[#This Row],[Rollover From Last Month]]=""),_2023_01\Budgets[[#This Row],[Rollover From Last Month]],0)-_2023_01\Budgets[[#This Row],[Total Spent]]</f>
        <v>50</v>
      </c>
    </row>
    <row r="17" spans="2:14" x14ac:dyDescent="0.25">
      <c r="F17" s="8"/>
      <c r="G17" s="8" t="s">
        <v>12</v>
      </c>
      <c r="H17" s="9">
        <v>300</v>
      </c>
      <c r="I17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17" s="9"/>
      <c r="K17" s="16">
        <f ca="1">SUMIF(INDIRECT("_" &amp; SUBSTITUTE($C$2,"-","_") &amp; "\Transactions[Category]"),_2023_01\Budgets[[#This Row],[Name]],INDIRECT("_" &amp; SUBSTITUTE($C$2,"-","_") &amp; "\Transactions[Amount]"))</f>
        <v>0</v>
      </c>
      <c r="L17" s="16">
        <f ca="1">_2023_01\Budgets[[#This Row],[Amount]]+IF(NOT(_2023_01\Budgets[[#This Row],[Rollover From Last Month]]=""),_2023_01\Budgets[[#This Row],[Rollover From Last Month]],0)-_2023_01\Budgets[[#This Row],[Total Spent]]</f>
        <v>300</v>
      </c>
    </row>
    <row r="18" spans="2:14" x14ac:dyDescent="0.25">
      <c r="B18" s="1" t="s">
        <v>42</v>
      </c>
      <c r="C18" s="5">
        <f ca="1">SUM(INDIRECT("_" &amp; SUBSTITUTE($C$2,"-","_") &amp; "\Transactions[Amount]"))</f>
        <v>0</v>
      </c>
      <c r="F18" s="8"/>
      <c r="G18" s="8" t="s">
        <v>12</v>
      </c>
      <c r="H18" s="9">
        <v>300</v>
      </c>
      <c r="I18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18" s="9"/>
      <c r="K18" s="16">
        <f ca="1">SUMIF(INDIRECT("_" &amp; SUBSTITUTE($C$2,"-","_") &amp; "\Transactions[Category]"),_2023_01\Budgets[[#This Row],[Name]],INDIRECT("_" &amp; SUBSTITUTE($C$2,"-","_") &amp; "\Transactions[Amount]"))</f>
        <v>0</v>
      </c>
      <c r="L18" s="16">
        <f ca="1">_2023_01\Budgets[[#This Row],[Amount]]+IF(NOT(_2023_01\Budgets[[#This Row],[Rollover From Last Month]]=""),_2023_01\Budgets[[#This Row],[Rollover From Last Month]],0)-_2023_01\Budgets[[#This Row],[Total Spent]]</f>
        <v>300</v>
      </c>
    </row>
    <row r="19" spans="2:14" x14ac:dyDescent="0.25">
      <c r="B19" s="1" t="s">
        <v>40</v>
      </c>
      <c r="C19" s="5">
        <f ca="1">C11-C18</f>
        <v>5965</v>
      </c>
      <c r="F19" s="8"/>
      <c r="G19" s="8" t="s">
        <v>12</v>
      </c>
      <c r="H19" s="9">
        <v>100</v>
      </c>
      <c r="I19" s="10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>0</v>
      </c>
      <c r="J19" s="9">
        <v>0</v>
      </c>
      <c r="K19" s="16">
        <f ca="1">SUMIF(INDIRECT("_" &amp; SUBSTITUTE($C$2,"-","_") &amp; "\Transactions[Category]"),_2023_01\Budgets[[#This Row],[Name]],INDIRECT("_" &amp; SUBSTITUTE($C$2,"-","_") &amp; "\Transactions[Amount]"))</f>
        <v>0</v>
      </c>
      <c r="L19" s="16">
        <f ca="1">_2023_01\Budgets[[#This Row],[Amount]]+IF(NOT(_2023_01\Budgets[[#This Row],[Rollover From Last Month]]=""),_2023_01\Budgets[[#This Row],[Rollover From Last Month]],0)-_2023_01\Budgets[[#This Row],[Total Spent]]</f>
        <v>100</v>
      </c>
    </row>
    <row r="20" spans="2:14" x14ac:dyDescent="0.25">
      <c r="F20" s="8"/>
      <c r="G20" s="8" t="s">
        <v>25</v>
      </c>
      <c r="H20" s="9">
        <v>0</v>
      </c>
      <c r="I20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20" s="9"/>
      <c r="K20" s="16">
        <f ca="1">SUMIF(INDIRECT("_" &amp; SUBSTITUTE($C$2,"-","_") &amp; "\Transactions[Category]"),_2023_01\Budgets[[#This Row],[Name]],INDIRECT("_" &amp; SUBSTITUTE($C$2,"-","_") &amp; "\Transactions[Amount]"))</f>
        <v>0</v>
      </c>
      <c r="L20" s="16">
        <f ca="1">_2023_01\Budgets[[#This Row],[Amount]]+IF(NOT(_2023_01\Budgets[[#This Row],[Rollover From Last Month]]=""),_2023_01\Budgets[[#This Row],[Rollover From Last Month]],0)-_2023_01\Budgets[[#This Row],[Total Spent]]</f>
        <v>0</v>
      </c>
    </row>
    <row r="21" spans="2:14" x14ac:dyDescent="0.25">
      <c r="F21" s="12"/>
      <c r="G21" s="12" t="s">
        <v>13</v>
      </c>
      <c r="H21" s="14">
        <v>750</v>
      </c>
      <c r="I21" s="15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21" s="14"/>
      <c r="K21" s="17">
        <f ca="1">SUMIF(INDIRECT("_" &amp; SUBSTITUTE($C$2,"-","_") &amp; "\Transactions[Category]"),_2023_01\Budgets[[#This Row],[Name]],INDIRECT("_" &amp; SUBSTITUTE($C$2,"-","_") &amp; "\Transactions[Amount]"))</f>
        <v>0</v>
      </c>
      <c r="L21" s="17">
        <f ca="1">_2023_01\Budgets[[#This Row],[Amount]]+IF(NOT(_2023_01\Budgets[[#This Row],[Rollover From Last Month]]=""),_2023_01\Budgets[[#This Row],[Rollover From Last Month]],0)-_2023_01\Budgets[[#This Row],[Total Spent]]</f>
        <v>750</v>
      </c>
    </row>
    <row r="22" spans="2:14" x14ac:dyDescent="0.25">
      <c r="F22" s="8"/>
      <c r="G22" s="8" t="s">
        <v>13</v>
      </c>
      <c r="H22" s="9">
        <v>200</v>
      </c>
      <c r="I22" s="10" t="str">
        <f ca="1">IF(_2023_01\Budgets[[#This Row],[Type]]&lt;&gt;"Rolling", "", IF(NOT(ISBLANK(_2023_01\Budgets[[#This Row],[Override Rollover Amount]])), _2023_01\Budgets[[#This Row],[Override Rollover Amount]], SUMIF(INDIRECT("_" &amp; SUBSTITUTE($E$2,"-","_") &amp; "\Budgets[Name]"),_2023_01\Budgets[[#This Row],[Name]],INDIRECT("_" &amp; SUBSTITUTE($E$2,"-","_") &amp; "\Budgets[Remaining Budget]"))))</f>
        <v/>
      </c>
      <c r="J22" s="9"/>
      <c r="K22" s="16">
        <f ca="1">SUMIF(INDIRECT("_" &amp; SUBSTITUTE($C$2,"-","_") &amp; "\Transactions[Category]"),_2023_01\Budgets[[#This Row],[Name]],INDIRECT("_" &amp; SUBSTITUTE($C$2,"-","_") &amp; "\Transactions[Amount]"))</f>
        <v>0</v>
      </c>
      <c r="L22" s="16">
        <f ca="1">_2023_01\Budgets[[#This Row],[Amount]]+IF(NOT(_2023_01\Budgets[[#This Row],[Rollover From Last Month]]=""),_2023_01\Budgets[[#This Row],[Rollover From Last Month]],0)-_2023_01\Budgets[[#This Row],[Total Spent]]</f>
        <v>200</v>
      </c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9"/>
      <c r="K34" s="9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  <c r="H36" s="12"/>
      <c r="I36" s="12" t="s">
        <v>43</v>
      </c>
      <c r="J36" s="14"/>
      <c r="K36" s="14"/>
      <c r="L36" s="14"/>
      <c r="M36" s="14"/>
      <c r="N36" s="14"/>
    </row>
    <row r="37" spans="2:14" x14ac:dyDescent="0.25">
      <c r="B37" s="11"/>
      <c r="C37" s="8"/>
      <c r="D37" s="8"/>
      <c r="E37" s="8"/>
      <c r="F37" s="9"/>
      <c r="H37" s="12"/>
      <c r="I37" s="12" t="s">
        <v>43</v>
      </c>
      <c r="J37" s="14"/>
      <c r="K37" s="14"/>
      <c r="L37" s="14"/>
      <c r="M37" s="14"/>
      <c r="N37" s="14"/>
    </row>
    <row r="38" spans="2:14" x14ac:dyDescent="0.25">
      <c r="B38" s="11"/>
      <c r="C38" s="8"/>
      <c r="D38" s="8"/>
      <c r="E38" s="8"/>
      <c r="F38" s="9"/>
      <c r="H38" s="12"/>
      <c r="I38" s="12" t="s">
        <v>43</v>
      </c>
      <c r="J38" s="14"/>
      <c r="K38" s="14"/>
      <c r="L38" s="14"/>
      <c r="M38" s="14"/>
      <c r="N38" s="14"/>
    </row>
    <row r="39" spans="2:14" x14ac:dyDescent="0.25">
      <c r="B39" s="11"/>
      <c r="C39" s="8"/>
      <c r="D39" s="8"/>
      <c r="E39" s="8"/>
      <c r="F39" s="9"/>
      <c r="H39" s="12"/>
      <c r="I39" s="12" t="s">
        <v>34</v>
      </c>
      <c r="J39" s="14"/>
      <c r="K39" s="14"/>
      <c r="L39" s="14"/>
      <c r="M39" s="14"/>
      <c r="N39" s="14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/>
  <dataValidations count="4">
    <dataValidation type="list" allowBlank="1" showInputMessage="1" showErrorMessage="1" sqref="I27:I39" xr:uid="{AED6F78F-9428-4EE5-9E9F-4D9F1D641E2F}">
      <formula1>"Spending,Reserve,Savings,Loan,Safety Net,Retirement"</formula1>
    </dataValidation>
    <dataValidation type="list" showInputMessage="1" showErrorMessage="1" sqref="G20" xr:uid="{7FE7792F-0EAB-4CCF-8CA2-106D41BC3726}">
      <formula1>"Rolling,Fixed,Saving"</formula1>
    </dataValidation>
    <dataValidation type="list" showInputMessage="1" showErrorMessage="1" sqref="G6:G19" xr:uid="{DBD6EFA9-35F8-420D-88B2-FF15644D6E68}">
      <formula1>"Rolling,Fixed"</formula1>
    </dataValidation>
    <dataValidation type="list" allowBlank="1" showInputMessage="1" showErrorMessage="1" sqref="E64:E127 E27:E62" xr:uid="{D0C2DE88-F464-47A6-B5D1-989E7718CDB9}">
      <formula1>INDIRECT("_" &amp; SUBSTITUTE($C$2,"-","_") &amp; "\Budgets[Name]")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36BC0-3B12-4EB0-96D2-4F7C0199E8FA}">
  <sheetPr codeName="Sheet5"/>
  <dimension ref="B2:N127"/>
  <sheetViews>
    <sheetView topLeftCell="A68" workbookViewId="0">
      <selection activeCell="D17" sqref="D17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2022-12</v>
      </c>
      <c r="D2" s="1" t="s">
        <v>22</v>
      </c>
      <c r="E2" t="str">
        <f ca="1">_xlfn.CONCAT(IF(RIGHT(C2,2)="01", VALUE(LEFT(C2,4))-1, LEFT(C2,4)), "-", IF(RIGHT(C2,2)="01","12",VALUE(RIGHT(C2,2))-1))</f>
        <v>2022-11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>
        <v>0</v>
      </c>
      <c r="F6" s="8"/>
      <c r="G6" s="8" t="s">
        <v>12</v>
      </c>
      <c r="H6" s="9">
        <v>150</v>
      </c>
      <c r="I6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6" s="9"/>
      <c r="K6" s="16">
        <f ca="1">SUMIF(INDIRECT("_" &amp; SUBSTITUTE($C$2,"-","_") &amp; "\Transactions[Category]"),_2022_12\Budgets[[#This Row],[Name]],INDIRECT("_" &amp; SUBSTITUTE($C$2,"-","_") &amp; "\Transactions[Amount]"))</f>
        <v>0</v>
      </c>
      <c r="L6" s="16">
        <f ca="1">_2022_12\Budgets[[#This Row],[Amount]]+IF(NOT(_2022_12\Budgets[[#This Row],[Rollover From Last Month]]=""),_2022_12\Budgets[[#This Row],[Rollover From Last Month]],0)-_2022_12\Budgets[[#This Row],[Total Spent]]</f>
        <v>150</v>
      </c>
    </row>
    <row r="7" spans="2:12" x14ac:dyDescent="0.25">
      <c r="B7" s="1" t="s">
        <v>7</v>
      </c>
      <c r="C7" s="7">
        <v>0</v>
      </c>
      <c r="F7" s="8"/>
      <c r="G7" s="8" t="s">
        <v>13</v>
      </c>
      <c r="H7" s="9">
        <v>200</v>
      </c>
      <c r="I7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7" s="9"/>
      <c r="K7" s="16">
        <f ca="1">SUMIF(INDIRECT("_" &amp; SUBSTITUTE($C$2,"-","_") &amp; "\Transactions[Category]"),_2022_12\Budgets[[#This Row],[Name]],INDIRECT("_" &amp; SUBSTITUTE($C$2,"-","_") &amp; "\Transactions[Amount]"))</f>
        <v>0</v>
      </c>
      <c r="L7" s="16">
        <f ca="1">_2022_12\Budgets[[#This Row],[Amount]]+IF(NOT(_2022_12\Budgets[[#This Row],[Rollover From Last Month]]=""),_2022_12\Budgets[[#This Row],[Rollover From Last Month]],0)-_2022_12\Budgets[[#This Row],[Total Spent]]</f>
        <v>200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250</v>
      </c>
      <c r="I8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8" s="9"/>
      <c r="K8" s="16">
        <f ca="1">SUMIF(INDIRECT("_" &amp; SUBSTITUTE($C$2,"-","_") &amp; "\Transactions[Category]"),_2022_12\Budgets[[#This Row],[Name]],INDIRECT("_" &amp; SUBSTITUTE($C$2,"-","_") &amp; "\Transactions[Amount]"))</f>
        <v>0</v>
      </c>
      <c r="L8" s="16">
        <f ca="1">_2022_12\Budgets[[#This Row],[Amount]]+IF(NOT(_2022_12\Budgets[[#This Row],[Rollover From Last Month]]=""),_2022_12\Budgets[[#This Row],[Rollover From Last Month]],0)-_2022_12\Budgets[[#This Row],[Total Spent]]</f>
        <v>250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125</v>
      </c>
      <c r="I9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9" s="9"/>
      <c r="K9" s="16">
        <f ca="1">SUMIF(INDIRECT("_" &amp; SUBSTITUTE($C$2,"-","_") &amp; "\Transactions[Category]"),_2022_12\Budgets[[#This Row],[Name]],INDIRECT("_" &amp; SUBSTITUTE($C$2,"-","_") &amp; "\Transactions[Amount]"))</f>
        <v>0</v>
      </c>
      <c r="L9" s="16">
        <f ca="1">_2022_12\Budgets[[#This Row],[Amount]]+IF(NOT(_2022_12\Budgets[[#This Row],[Rollover From Last Month]]=""),_2022_12\Budgets[[#This Row],[Rollover From Last Month]],0)-_2022_12\Budgets[[#This Row],[Total Spent]]</f>
        <v>125</v>
      </c>
    </row>
    <row r="10" spans="2:12" x14ac:dyDescent="0.25">
      <c r="F10" s="8"/>
      <c r="G10" s="8" t="s">
        <v>13</v>
      </c>
      <c r="H10" s="9">
        <v>125</v>
      </c>
      <c r="I10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0" s="9"/>
      <c r="K10" s="16">
        <f ca="1">SUMIF(INDIRECT("_" &amp; SUBSTITUTE($C$2,"-","_") &amp; "\Transactions[Category]"),_2022_12\Budgets[[#This Row],[Name]],INDIRECT("_" &amp; SUBSTITUTE($C$2,"-","_") &amp; "\Transactions[Amount]"))</f>
        <v>0</v>
      </c>
      <c r="L10" s="16">
        <f ca="1">_2022_12\Budgets[[#This Row],[Amount]]+IF(NOT(_2022_12\Budgets[[#This Row],[Rollover From Last Month]]=""),_2022_12\Budgets[[#This Row],[Rollover From Last Month]],0)-_2022_12\Budgets[[#This Row],[Total Spent]]</f>
        <v>125</v>
      </c>
    </row>
    <row r="11" spans="2:12" x14ac:dyDescent="0.25">
      <c r="B11" s="1" t="s">
        <v>39</v>
      </c>
      <c r="C11" s="3">
        <f ca="1">SUM(INDIRECT("_" &amp; SUBSTITUTE($C$2,"-","_") &amp; "\Budgets[Amount]"))</f>
        <v>5770</v>
      </c>
      <c r="F11" s="8"/>
      <c r="G11" s="8" t="s">
        <v>13</v>
      </c>
      <c r="H11" s="9">
        <v>125</v>
      </c>
      <c r="I11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1" s="9"/>
      <c r="K11" s="16">
        <f ca="1">SUMIF(INDIRECT("_" &amp; SUBSTITUTE($C$2,"-","_") &amp; "\Transactions[Category]"),_2022_12\Budgets[[#This Row],[Name]],INDIRECT("_" &amp; SUBSTITUTE($C$2,"-","_") &amp; "\Transactions[Amount]"))</f>
        <v>0</v>
      </c>
      <c r="L11" s="16">
        <f ca="1">_2022_12\Budgets[[#This Row],[Amount]]+IF(NOT(_2022_12\Budgets[[#This Row],[Rollover From Last Month]]=""),_2022_12\Budgets[[#This Row],[Rollover From Last Month]],0)-_2022_12\Budgets[[#This Row],[Total Spent]]</f>
        <v>125</v>
      </c>
    </row>
    <row r="12" spans="2:12" x14ac:dyDescent="0.25">
      <c r="B12" s="1" t="s">
        <v>15</v>
      </c>
      <c r="C12" s="4">
        <f ca="1">C9-C11</f>
        <v>-5770</v>
      </c>
      <c r="F12" s="8"/>
      <c r="G12" s="8" t="s">
        <v>13</v>
      </c>
      <c r="H12" s="9">
        <v>300</v>
      </c>
      <c r="I12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2" s="9"/>
      <c r="K12" s="16">
        <f ca="1">SUMIF(INDIRECT("_" &amp; SUBSTITUTE($C$2,"-","_") &amp; "\Transactions[Category]"),_2022_12\Budgets[[#This Row],[Name]],INDIRECT("_" &amp; SUBSTITUTE($C$2,"-","_") &amp; "\Transactions[Amount]"))</f>
        <v>0</v>
      </c>
      <c r="L12" s="16">
        <f ca="1">_2022_12\Budgets[[#This Row],[Amount]]+IF(NOT(_2022_12\Budgets[[#This Row],[Rollover From Last Month]]=""),_2022_12\Budgets[[#This Row],[Rollover From Last Month]],0)-_2022_12\Budgets[[#This Row],[Total Spent]]</f>
        <v>300</v>
      </c>
    </row>
    <row r="13" spans="2:12" x14ac:dyDescent="0.25">
      <c r="B13" s="1" t="s">
        <v>24</v>
      </c>
      <c r="C13" s="5">
        <f ca="1">SUMIF(INDIRECT("_" &amp; SUBSTITUTE($C$2,"-","_") &amp; "\Budgets[Type]"), "=Saving", INDIRECT("_" &amp; SUBSTITUTE($C$2,"-","_") &amp; "\Budgets[Amount]"))</f>
        <v>1250</v>
      </c>
      <c r="F13" s="8"/>
      <c r="G13" s="8" t="s">
        <v>12</v>
      </c>
      <c r="H13" s="9">
        <v>150</v>
      </c>
      <c r="I13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13" s="9"/>
      <c r="K13" s="16">
        <f ca="1">SUMIF(INDIRECT("_" &amp; SUBSTITUTE($C$2,"-","_") &amp; "\Transactions[Category]"),_2022_12\Budgets[[#This Row],[Name]],INDIRECT("_" &amp; SUBSTITUTE($C$2,"-","_") &amp; "\Transactions[Amount]"))</f>
        <v>0</v>
      </c>
      <c r="L13" s="16">
        <f ca="1">_2022_12\Budgets[[#This Row],[Amount]]+IF(NOT(_2022_12\Budgets[[#This Row],[Rollover From Last Month]]=""),_2022_12\Budgets[[#This Row],[Rollover From Last Month]],0)-_2022_12\Budgets[[#This Row],[Total Spent]]</f>
        <v>150</v>
      </c>
    </row>
    <row r="14" spans="2:12" x14ac:dyDescent="0.25">
      <c r="F14" s="8"/>
      <c r="G14" s="8" t="s">
        <v>13</v>
      </c>
      <c r="H14" s="9">
        <v>1780</v>
      </c>
      <c r="I14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4" s="9"/>
      <c r="K14" s="16">
        <f ca="1">SUMIF(INDIRECT("_" &amp; SUBSTITUTE($C$2,"-","_") &amp; "\Transactions[Category]"),_2022_12\Budgets[[#This Row],[Name]],INDIRECT("_" &amp; SUBSTITUTE($C$2,"-","_") &amp; "\Transactions[Amount]"))</f>
        <v>0</v>
      </c>
      <c r="L14" s="16">
        <f ca="1">_2022_12\Budgets[[#This Row],[Amount]]+IF(NOT(_2022_12\Budgets[[#This Row],[Rollover From Last Month]]=""),_2022_12\Budgets[[#This Row],[Rollover From Last Month]],0)-_2022_12\Budgets[[#This Row],[Total Spent]]</f>
        <v>1780</v>
      </c>
    </row>
    <row r="15" spans="2:12" x14ac:dyDescent="0.25">
      <c r="B15" s="1" t="s">
        <v>37</v>
      </c>
      <c r="C15" s="5">
        <f ca="1">SUM(INDIRECT("_" &amp; SUBSTITUTE($C$2,"-","_") &amp; "\Income[Amount]"))</f>
        <v>0</v>
      </c>
      <c r="F15" s="8"/>
      <c r="G15" s="8" t="s">
        <v>12</v>
      </c>
      <c r="H15" s="9">
        <v>300</v>
      </c>
      <c r="I15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15" s="9"/>
      <c r="K15" s="16">
        <f ca="1">SUMIF(INDIRECT("_" &amp; SUBSTITUTE($C$2,"-","_") &amp; "\Transactions[Category]"),_2022_12\Budgets[[#This Row],[Name]],INDIRECT("_" &amp; SUBSTITUTE($C$2,"-","_") &amp; "\Transactions[Amount]"))</f>
        <v>0</v>
      </c>
      <c r="L15" s="16">
        <f ca="1">_2022_12\Budgets[[#This Row],[Amount]]+IF(NOT(_2022_12\Budgets[[#This Row],[Rollover From Last Month]]=""),_2022_12\Budgets[[#This Row],[Rollover From Last Month]],0)-_2022_12\Budgets[[#This Row],[Total Spent]]</f>
        <v>300</v>
      </c>
    </row>
    <row r="16" spans="2:12" x14ac:dyDescent="0.25">
      <c r="B16" s="1" t="s">
        <v>41</v>
      </c>
      <c r="C16" s="5">
        <f ca="1">C15-C11</f>
        <v>-5770</v>
      </c>
      <c r="F16" s="8"/>
      <c r="G16" s="8" t="s">
        <v>13</v>
      </c>
      <c r="H16" s="9">
        <v>350</v>
      </c>
      <c r="I16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6" s="9"/>
      <c r="K16" s="16">
        <f ca="1">SUMIF(INDIRECT("_" &amp; SUBSTITUTE($C$2,"-","_") &amp; "\Transactions[Category]"),_2022_12\Budgets[[#This Row],[Name]],INDIRECT("_" &amp; SUBSTITUTE($C$2,"-","_") &amp; "\Transactions[Amount]"))</f>
        <v>0</v>
      </c>
      <c r="L16" s="16">
        <f ca="1">_2022_12\Budgets[[#This Row],[Amount]]+IF(NOT(_2022_12\Budgets[[#This Row],[Rollover From Last Month]]=""),_2022_12\Budgets[[#This Row],[Rollover From Last Month]],0)-_2022_12\Budgets[[#This Row],[Total Spent]]</f>
        <v>350</v>
      </c>
    </row>
    <row r="17" spans="2:14" x14ac:dyDescent="0.25">
      <c r="F17" s="8"/>
      <c r="G17" s="8" t="s">
        <v>12</v>
      </c>
      <c r="H17" s="9">
        <v>300</v>
      </c>
      <c r="I17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17" s="9"/>
      <c r="K17" s="16">
        <f ca="1">SUMIF(INDIRECT("_" &amp; SUBSTITUTE($C$2,"-","_") &amp; "\Transactions[Category]"),_2022_12\Budgets[[#This Row],[Name]],INDIRECT("_" &amp; SUBSTITUTE($C$2,"-","_") &amp; "\Transactions[Amount]"))</f>
        <v>0</v>
      </c>
      <c r="L17" s="16">
        <f ca="1">_2022_12\Budgets[[#This Row],[Amount]]+IF(NOT(_2022_12\Budgets[[#This Row],[Rollover From Last Month]]=""),_2022_12\Budgets[[#This Row],[Rollover From Last Month]],0)-_2022_12\Budgets[[#This Row],[Total Spent]]</f>
        <v>300</v>
      </c>
    </row>
    <row r="18" spans="2:14" x14ac:dyDescent="0.25">
      <c r="B18" s="1" t="s">
        <v>42</v>
      </c>
      <c r="C18" s="5">
        <f ca="1">SUM(INDIRECT("_" &amp; SUBSTITUTE($C$2,"-","_") &amp; "\Transactions[Amount]"))</f>
        <v>0</v>
      </c>
      <c r="F18" s="8"/>
      <c r="G18" s="8" t="s">
        <v>12</v>
      </c>
      <c r="H18" s="9">
        <v>300</v>
      </c>
      <c r="I18" s="10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>0</v>
      </c>
      <c r="J18" s="9">
        <v>0</v>
      </c>
      <c r="K18" s="16">
        <f ca="1">SUMIF(INDIRECT("_" &amp; SUBSTITUTE($C$2,"-","_") &amp; "\Transactions[Category]"),_2022_12\Budgets[[#This Row],[Name]],INDIRECT("_" &amp; SUBSTITUTE($C$2,"-","_") &amp; "\Transactions[Amount]"))</f>
        <v>0</v>
      </c>
      <c r="L18" s="16">
        <f ca="1">_2022_12\Budgets[[#This Row],[Amount]]+IF(NOT(_2022_12\Budgets[[#This Row],[Rollover From Last Month]]=""),_2022_12\Budgets[[#This Row],[Rollover From Last Month]],0)-_2022_12\Budgets[[#This Row],[Total Spent]]</f>
        <v>300</v>
      </c>
    </row>
    <row r="19" spans="2:14" x14ac:dyDescent="0.25">
      <c r="B19" s="1" t="s">
        <v>40</v>
      </c>
      <c r="C19" s="5">
        <f ca="1">C11-C18</f>
        <v>5770</v>
      </c>
      <c r="F19" s="8"/>
      <c r="G19" s="8" t="s">
        <v>13</v>
      </c>
      <c r="H19" s="9">
        <v>65</v>
      </c>
      <c r="I19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19" s="9"/>
      <c r="K19" s="16">
        <f ca="1">SUMIF(INDIRECT("_" &amp; SUBSTITUTE($C$2,"-","_") &amp; "\Transactions[Category]"),_2022_12\Budgets[[#This Row],[Name]],INDIRECT("_" &amp; SUBSTITUTE($C$2,"-","_") &amp; "\Transactions[Amount]"))</f>
        <v>0</v>
      </c>
      <c r="L19" s="16">
        <f ca="1">_2022_12\Budgets[[#This Row],[Amount]]+IF(NOT(_2022_12\Budgets[[#This Row],[Rollover From Last Month]]=""),_2022_12\Budgets[[#This Row],[Rollover From Last Month]],0)-_2022_12\Budgets[[#This Row],[Total Spent]]</f>
        <v>65</v>
      </c>
    </row>
    <row r="20" spans="2:14" x14ac:dyDescent="0.25">
      <c r="F20" s="8"/>
      <c r="G20" s="8" t="s">
        <v>25</v>
      </c>
      <c r="H20" s="9">
        <v>1250</v>
      </c>
      <c r="I20" s="10" t="str">
        <f ca="1">IF(_2022_12\Budgets[[#This Row],[Type]]&lt;&gt;"Rolling", "", IF(NOT(ISBLANK(_2022_12\Budgets[[#This Row],[Override Rollover Amount]])), _2022_12\Budgets[[#This Row],[Override Rollover Amount]], SUMIF(INDIRECT("_" &amp; SUBSTITUTE($E$2,"-","_") &amp; "\Budgets[Name]"),_2022_12\Budgets[[#This Row],[Name]],INDIRECT("_" &amp; SUBSTITUTE($E$2,"-","_") &amp; "\Budgets[Remaining Budget]"))))</f>
        <v/>
      </c>
      <c r="J20" s="9"/>
      <c r="K20" s="16">
        <f ca="1">SUMIF(INDIRECT("_" &amp; SUBSTITUTE($C$2,"-","_") &amp; "\Transactions[Category]"),_2022_12\Budgets[[#This Row],[Name]],INDIRECT("_" &amp; SUBSTITUTE($C$2,"-","_") &amp; "\Transactions[Amount]"))</f>
        <v>0</v>
      </c>
      <c r="L20" s="16">
        <f ca="1">_2022_12\Budgets[[#This Row],[Amount]]+IF(NOT(_2022_12\Budgets[[#This Row],[Rollover From Last Month]]=""),_2022_12\Budgets[[#This Row],[Rollover From Last Month]],0)-_2022_12\Budgets[[#This Row],[Total Spent]]</f>
        <v>1250</v>
      </c>
    </row>
    <row r="22" spans="2:14" x14ac:dyDescent="0.25">
      <c r="G22" s="1"/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9"/>
      <c r="K34" s="9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</row>
    <row r="37" spans="2:14" x14ac:dyDescent="0.25">
      <c r="B37" s="11"/>
      <c r="C37" s="8"/>
      <c r="D37" s="8"/>
      <c r="E37" s="8"/>
      <c r="F37" s="9"/>
    </row>
    <row r="38" spans="2:14" x14ac:dyDescent="0.25">
      <c r="B38" s="11"/>
      <c r="C38" s="8"/>
      <c r="D38" s="8"/>
      <c r="E38" s="8"/>
      <c r="F38" s="9"/>
    </row>
    <row r="39" spans="2:14" x14ac:dyDescent="0.25">
      <c r="B39" s="11"/>
      <c r="C39" s="8"/>
      <c r="D39" s="8"/>
      <c r="E39" s="8"/>
      <c r="F39" s="9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/>
  <dataValidations disablePrompts="1" count="4">
    <dataValidation type="list" allowBlank="1" showInputMessage="1" showErrorMessage="1" sqref="I27:I35" xr:uid="{7D4C4B17-4037-45B3-BD73-BE763C47B2E7}">
      <formula1>"Spending,Reserve,Savings,Loan,Safety Net,Retirement"</formula1>
    </dataValidation>
    <dataValidation type="list" allowBlank="1" showInputMessage="1" showErrorMessage="1" sqref="E27:E127" xr:uid="{4CCCCA18-77A4-49F8-937F-35C2AFFFD68B}">
      <formula1>INDIRECT("_" &amp; SUBSTITUTE($C$2,"-","_") &amp; "\Budgets[Name]")</formula1>
    </dataValidation>
    <dataValidation type="list" showInputMessage="1" showErrorMessage="1" sqref="G20" xr:uid="{EB577D3F-631E-4987-B052-2504B044DCB7}">
      <formula1>"Rolling,Fixed,Saving"</formula1>
    </dataValidation>
    <dataValidation type="list" showInputMessage="1" showErrorMessage="1" sqref="G6:G19" xr:uid="{9EB447F5-DF6F-46AF-8AC0-ED2820ADB044}">
      <formula1>"Rolling,Fixed"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95EA-118F-462F-BDC8-CCAD375EDD28}">
  <sheetPr codeName="Sheet3"/>
  <dimension ref="B2:N127"/>
  <sheetViews>
    <sheetView topLeftCell="A44" workbookViewId="0">
      <selection activeCell="E19" sqref="E19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25.710937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2022-11</v>
      </c>
      <c r="D2" s="1" t="s">
        <v>22</v>
      </c>
      <c r="E2" t="str">
        <f ca="1">_xlfn.CONCAT(IF(RIGHT(C2,2)="01", VALUE(LEFT(C2,4))-1, LEFT(C2,4)), "-", IF(RIGHT(C2,2)="01","12",VALUE(RIGHT(C2,2))-1))</f>
        <v>2022-10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>
        <v>0</v>
      </c>
      <c r="F6" s="8"/>
      <c r="G6" s="8" t="s">
        <v>12</v>
      </c>
      <c r="H6" s="9">
        <v>150</v>
      </c>
      <c r="I6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6" s="9"/>
      <c r="K6" s="16">
        <f ca="1">SUMIF(INDIRECT("_" &amp; SUBSTITUTE($C$2,"-","_") &amp; "\Transactions[Category]"),_2022_11\Budgets[[#This Row],[Name]],INDIRECT("_" &amp; SUBSTITUTE($C$2,"-","_") &amp; "\Transactions[Amount]"))</f>
        <v>0</v>
      </c>
      <c r="L6" s="16">
        <f ca="1">_2022_11\Budgets[[#This Row],[Amount]]+IF(NOT(_2022_11\Budgets[[#This Row],[Rollover From Last Month]]=""),_2022_11\Budgets[[#This Row],[Rollover From Last Month]],0)-_2022_11\Budgets[[#This Row],[Total Spent]]</f>
        <v>150</v>
      </c>
    </row>
    <row r="7" spans="2:12" x14ac:dyDescent="0.25">
      <c r="B7" s="1" t="s">
        <v>7</v>
      </c>
      <c r="C7" s="7">
        <v>0</v>
      </c>
      <c r="F7" s="8"/>
      <c r="G7" s="8" t="s">
        <v>13</v>
      </c>
      <c r="H7" s="9">
        <v>200</v>
      </c>
      <c r="I7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7" s="9"/>
      <c r="K7" s="16">
        <f ca="1">SUMIF(INDIRECT("_" &amp; SUBSTITUTE($C$2,"-","_") &amp; "\Transactions[Category]"),_2022_11\Budgets[[#This Row],[Name]],INDIRECT("_" &amp; SUBSTITUTE($C$2,"-","_") &amp; "\Transactions[Amount]"))</f>
        <v>0</v>
      </c>
      <c r="L7" s="16">
        <f ca="1">_2022_11\Budgets[[#This Row],[Amount]]+IF(NOT(_2022_11\Budgets[[#This Row],[Rollover From Last Month]]=""),_2022_11\Budgets[[#This Row],[Rollover From Last Month]],0)-_2022_11\Budgets[[#This Row],[Total Spent]]</f>
        <v>200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250</v>
      </c>
      <c r="I8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8" s="9"/>
      <c r="K8" s="16">
        <f ca="1">SUMIF(INDIRECT("_" &amp; SUBSTITUTE($C$2,"-","_") &amp; "\Transactions[Category]"),_2022_11\Budgets[[#This Row],[Name]],INDIRECT("_" &amp; SUBSTITUTE($C$2,"-","_") &amp; "\Transactions[Amount]"))</f>
        <v>0</v>
      </c>
      <c r="L8" s="16">
        <f ca="1">_2022_11\Budgets[[#This Row],[Amount]]+IF(NOT(_2022_11\Budgets[[#This Row],[Rollover From Last Month]]=""),_2022_11\Budgets[[#This Row],[Rollover From Last Month]],0)-_2022_11\Budgets[[#This Row],[Total Spent]]</f>
        <v>250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125</v>
      </c>
      <c r="I9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9" s="9"/>
      <c r="K9" s="16">
        <f ca="1">SUMIF(INDIRECT("_" &amp; SUBSTITUTE($C$2,"-","_") &amp; "\Transactions[Category]"),_2022_11\Budgets[[#This Row],[Name]],INDIRECT("_" &amp; SUBSTITUTE($C$2,"-","_") &amp; "\Transactions[Amount]"))</f>
        <v>0</v>
      </c>
      <c r="L9" s="16">
        <f ca="1">_2022_11\Budgets[[#This Row],[Amount]]+IF(NOT(_2022_11\Budgets[[#This Row],[Rollover From Last Month]]=""),_2022_11\Budgets[[#This Row],[Rollover From Last Month]],0)-_2022_11\Budgets[[#This Row],[Total Spent]]</f>
        <v>125</v>
      </c>
    </row>
    <row r="10" spans="2:12" x14ac:dyDescent="0.25">
      <c r="F10" s="8"/>
      <c r="G10" s="8" t="s">
        <v>13</v>
      </c>
      <c r="H10" s="9">
        <v>125</v>
      </c>
      <c r="I10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0" s="9"/>
      <c r="K10" s="16">
        <f ca="1">SUMIF(INDIRECT("_" &amp; SUBSTITUTE($C$2,"-","_") &amp; "\Transactions[Category]"),_2022_11\Budgets[[#This Row],[Name]],INDIRECT("_" &amp; SUBSTITUTE($C$2,"-","_") &amp; "\Transactions[Amount]"))</f>
        <v>0</v>
      </c>
      <c r="L10" s="16">
        <f ca="1">_2022_11\Budgets[[#This Row],[Amount]]+IF(NOT(_2022_11\Budgets[[#This Row],[Rollover From Last Month]]=""),_2022_11\Budgets[[#This Row],[Rollover From Last Month]],0)-_2022_11\Budgets[[#This Row],[Total Spent]]</f>
        <v>125</v>
      </c>
    </row>
    <row r="11" spans="2:12" x14ac:dyDescent="0.25">
      <c r="B11" s="1" t="s">
        <v>39</v>
      </c>
      <c r="C11" s="3">
        <f ca="1">SUM(INDIRECT("_" &amp; SUBSTITUTE($C$2,"-","_") &amp; "\Budgets[Amount]"))</f>
        <v>5770</v>
      </c>
      <c r="F11" s="8"/>
      <c r="G11" s="8" t="s">
        <v>13</v>
      </c>
      <c r="H11" s="9">
        <v>125</v>
      </c>
      <c r="I11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1" s="9"/>
      <c r="K11" s="16">
        <f ca="1">SUMIF(INDIRECT("_" &amp; SUBSTITUTE($C$2,"-","_") &amp; "\Transactions[Category]"),_2022_11\Budgets[[#This Row],[Name]],INDIRECT("_" &amp; SUBSTITUTE($C$2,"-","_") &amp; "\Transactions[Amount]"))</f>
        <v>0</v>
      </c>
      <c r="L11" s="16">
        <f ca="1">_2022_11\Budgets[[#This Row],[Amount]]+IF(NOT(_2022_11\Budgets[[#This Row],[Rollover From Last Month]]=""),_2022_11\Budgets[[#This Row],[Rollover From Last Month]],0)-_2022_11\Budgets[[#This Row],[Total Spent]]</f>
        <v>125</v>
      </c>
    </row>
    <row r="12" spans="2:12" x14ac:dyDescent="0.25">
      <c r="B12" s="1" t="s">
        <v>15</v>
      </c>
      <c r="C12" s="4">
        <f ca="1">C9-C11</f>
        <v>-5770</v>
      </c>
      <c r="F12" s="8"/>
      <c r="G12" s="8" t="s">
        <v>13</v>
      </c>
      <c r="H12" s="9">
        <v>300</v>
      </c>
      <c r="I12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2" s="9"/>
      <c r="K12" s="16">
        <f ca="1">SUMIF(INDIRECT("_" &amp; SUBSTITUTE($C$2,"-","_") &amp; "\Transactions[Category]"),_2022_11\Budgets[[#This Row],[Name]],INDIRECT("_" &amp; SUBSTITUTE($C$2,"-","_") &amp; "\Transactions[Amount]"))</f>
        <v>0</v>
      </c>
      <c r="L12" s="16">
        <f ca="1">_2022_11\Budgets[[#This Row],[Amount]]+IF(NOT(_2022_11\Budgets[[#This Row],[Rollover From Last Month]]=""),_2022_11\Budgets[[#This Row],[Rollover From Last Month]],0)-_2022_11\Budgets[[#This Row],[Total Spent]]</f>
        <v>300</v>
      </c>
    </row>
    <row r="13" spans="2:12" x14ac:dyDescent="0.25">
      <c r="B13" s="1" t="s">
        <v>24</v>
      </c>
      <c r="C13" s="5">
        <f ca="1">SUMIF(INDIRECT("_" &amp; SUBSTITUTE($C$2,"-","_") &amp; "\Budgets[Type]"), "=Saving", INDIRECT("_" &amp; SUBSTITUTE($C$2,"-","_") &amp; "\Budgets[Amount]"))</f>
        <v>1250</v>
      </c>
      <c r="F13" s="8"/>
      <c r="G13" s="8" t="s">
        <v>12</v>
      </c>
      <c r="H13" s="9">
        <v>150</v>
      </c>
      <c r="I13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13" s="9"/>
      <c r="K13" s="16">
        <f ca="1">SUMIF(INDIRECT("_" &amp; SUBSTITUTE($C$2,"-","_") &amp; "\Transactions[Category]"),_2022_11\Budgets[[#This Row],[Name]],INDIRECT("_" &amp; SUBSTITUTE($C$2,"-","_") &amp; "\Transactions[Amount]"))</f>
        <v>0</v>
      </c>
      <c r="L13" s="16">
        <f ca="1">_2022_11\Budgets[[#This Row],[Amount]]+IF(NOT(_2022_11\Budgets[[#This Row],[Rollover From Last Month]]=""),_2022_11\Budgets[[#This Row],[Rollover From Last Month]],0)-_2022_11\Budgets[[#This Row],[Total Spent]]</f>
        <v>150</v>
      </c>
    </row>
    <row r="14" spans="2:12" x14ac:dyDescent="0.25">
      <c r="F14" s="8"/>
      <c r="G14" s="8" t="s">
        <v>13</v>
      </c>
      <c r="H14" s="9">
        <v>1780</v>
      </c>
      <c r="I14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4" s="9"/>
      <c r="K14" s="16">
        <f ca="1">SUMIF(INDIRECT("_" &amp; SUBSTITUTE($C$2,"-","_") &amp; "\Transactions[Category]"),_2022_11\Budgets[[#This Row],[Name]],INDIRECT("_" &amp; SUBSTITUTE($C$2,"-","_") &amp; "\Transactions[Amount]"))</f>
        <v>0</v>
      </c>
      <c r="L14" s="16">
        <f ca="1">_2022_11\Budgets[[#This Row],[Amount]]+IF(NOT(_2022_11\Budgets[[#This Row],[Rollover From Last Month]]=""),_2022_11\Budgets[[#This Row],[Rollover From Last Month]],0)-_2022_11\Budgets[[#This Row],[Total Spent]]</f>
        <v>1780</v>
      </c>
    </row>
    <row r="15" spans="2:12" x14ac:dyDescent="0.25">
      <c r="B15" s="1" t="s">
        <v>37</v>
      </c>
      <c r="C15" s="5">
        <f ca="1">SUM(INDIRECT("_" &amp; SUBSTITUTE($C$2,"-","_") &amp; "\Income[Amount]"))</f>
        <v>0</v>
      </c>
      <c r="F15" s="8"/>
      <c r="G15" s="8" t="s">
        <v>12</v>
      </c>
      <c r="H15" s="9">
        <v>300</v>
      </c>
      <c r="I15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15" s="9"/>
      <c r="K15" s="16">
        <f ca="1">SUMIF(INDIRECT("_" &amp; SUBSTITUTE($C$2,"-","_") &amp; "\Transactions[Category]"),_2022_11\Budgets[[#This Row],[Name]],INDIRECT("_" &amp; SUBSTITUTE($C$2,"-","_") &amp; "\Transactions[Amount]"))</f>
        <v>0</v>
      </c>
      <c r="L15" s="16">
        <f ca="1">_2022_11\Budgets[[#This Row],[Amount]]+IF(NOT(_2022_11\Budgets[[#This Row],[Rollover From Last Month]]=""),_2022_11\Budgets[[#This Row],[Rollover From Last Month]],0)-_2022_11\Budgets[[#This Row],[Total Spent]]</f>
        <v>300</v>
      </c>
    </row>
    <row r="16" spans="2:12" x14ac:dyDescent="0.25">
      <c r="B16" s="1" t="s">
        <v>41</v>
      </c>
      <c r="C16" s="5">
        <f ca="1">C15-C11</f>
        <v>-5770</v>
      </c>
      <c r="F16" s="8"/>
      <c r="G16" s="8" t="s">
        <v>13</v>
      </c>
      <c r="H16" s="9">
        <v>350</v>
      </c>
      <c r="I16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6" s="9"/>
      <c r="K16" s="16">
        <f ca="1">SUMIF(INDIRECT("_" &amp; SUBSTITUTE($C$2,"-","_") &amp; "\Transactions[Category]"),_2022_11\Budgets[[#This Row],[Name]],INDIRECT("_" &amp; SUBSTITUTE($C$2,"-","_") &amp; "\Transactions[Amount]"))</f>
        <v>0</v>
      </c>
      <c r="L16" s="16">
        <f ca="1">_2022_11\Budgets[[#This Row],[Amount]]+IF(NOT(_2022_11\Budgets[[#This Row],[Rollover From Last Month]]=""),_2022_11\Budgets[[#This Row],[Rollover From Last Month]],0)-_2022_11\Budgets[[#This Row],[Total Spent]]</f>
        <v>350</v>
      </c>
    </row>
    <row r="17" spans="2:14" x14ac:dyDescent="0.25">
      <c r="F17" s="8"/>
      <c r="G17" s="8" t="s">
        <v>12</v>
      </c>
      <c r="H17" s="9">
        <v>300</v>
      </c>
      <c r="I17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17" s="9"/>
      <c r="K17" s="16">
        <f ca="1">SUMIF(INDIRECT("_" &amp; SUBSTITUTE($C$2,"-","_") &amp; "\Transactions[Category]"),_2022_11\Budgets[[#This Row],[Name]],INDIRECT("_" &amp; SUBSTITUTE($C$2,"-","_") &amp; "\Transactions[Amount]"))</f>
        <v>0</v>
      </c>
      <c r="L17" s="16">
        <f ca="1">_2022_11\Budgets[[#This Row],[Amount]]+IF(NOT(_2022_11\Budgets[[#This Row],[Rollover From Last Month]]=""),_2022_11\Budgets[[#This Row],[Rollover From Last Month]],0)-_2022_11\Budgets[[#This Row],[Total Spent]]</f>
        <v>300</v>
      </c>
    </row>
    <row r="18" spans="2:14" x14ac:dyDescent="0.25">
      <c r="B18" s="1" t="s">
        <v>42</v>
      </c>
      <c r="C18" s="5">
        <f ca="1">SUM(INDIRECT("_" &amp; SUBSTITUTE($C$2,"-","_") &amp; "\Transactions[Amount]"))</f>
        <v>0</v>
      </c>
      <c r="F18" s="8"/>
      <c r="G18" s="8" t="s">
        <v>12</v>
      </c>
      <c r="H18" s="9">
        <v>300</v>
      </c>
      <c r="I18" s="10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>0</v>
      </c>
      <c r="J18" s="9"/>
      <c r="K18" s="16">
        <f ca="1">SUMIF(INDIRECT("_" &amp; SUBSTITUTE($C$2,"-","_") &amp; "\Transactions[Category]"),_2022_11\Budgets[[#This Row],[Name]],INDIRECT("_" &amp; SUBSTITUTE($C$2,"-","_") &amp; "\Transactions[Amount]"))</f>
        <v>0</v>
      </c>
      <c r="L18" s="16">
        <f ca="1">_2022_11\Budgets[[#This Row],[Amount]]+IF(NOT(_2022_11\Budgets[[#This Row],[Rollover From Last Month]]=""),_2022_11\Budgets[[#This Row],[Rollover From Last Month]],0)-_2022_11\Budgets[[#This Row],[Total Spent]]</f>
        <v>300</v>
      </c>
    </row>
    <row r="19" spans="2:14" x14ac:dyDescent="0.25">
      <c r="B19" s="1" t="s">
        <v>40</v>
      </c>
      <c r="C19" s="5">
        <f ca="1">C11-C18</f>
        <v>5770</v>
      </c>
      <c r="F19" s="8"/>
      <c r="G19" s="8" t="s">
        <v>13</v>
      </c>
      <c r="H19" s="9">
        <v>65</v>
      </c>
      <c r="I19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19" s="9"/>
      <c r="K19" s="16">
        <f ca="1">SUMIF(INDIRECT("_" &amp; SUBSTITUTE($C$2,"-","_") &amp; "\Transactions[Category]"),_2022_11\Budgets[[#This Row],[Name]],INDIRECT("_" &amp; SUBSTITUTE($C$2,"-","_") &amp; "\Transactions[Amount]"))</f>
        <v>0</v>
      </c>
      <c r="L19" s="16">
        <f ca="1">_2022_11\Budgets[[#This Row],[Amount]]+IF(NOT(_2022_11\Budgets[[#This Row],[Rollover From Last Month]]=""),_2022_11\Budgets[[#This Row],[Rollover From Last Month]],0)-_2022_11\Budgets[[#This Row],[Total Spent]]</f>
        <v>65</v>
      </c>
    </row>
    <row r="20" spans="2:14" x14ac:dyDescent="0.25">
      <c r="F20" s="8"/>
      <c r="G20" s="8" t="s">
        <v>25</v>
      </c>
      <c r="H20" s="9">
        <v>1250</v>
      </c>
      <c r="I20" s="10" t="str">
        <f ca="1">IF(_2022_11\Budgets[[#This Row],[Type]]&lt;&gt;"Rolling", "", IF(NOT(ISBLANK(_2022_11\Budgets[[#This Row],[Override Rollover Amount]])), _2022_11\Budgets[[#This Row],[Override Rollover Amount]], SUMIF(INDIRECT("_" &amp; SUBSTITUTE($E$2,"-","_") &amp; "\Budgets[Name]"),_2022_11\Budgets[[#This Row],[Name]],INDIRECT("_" &amp; SUBSTITUTE($E$2,"-","_") &amp; "\Budgets[Remaining Budget]"))))</f>
        <v/>
      </c>
      <c r="J20" s="9"/>
      <c r="K20" s="16">
        <f ca="1">SUMIF(INDIRECT("_" &amp; SUBSTITUTE($C$2,"-","_") &amp; "\Transactions[Category]"),_2022_11\Budgets[[#This Row],[Name]],INDIRECT("_" &amp; SUBSTITUTE($C$2,"-","_") &amp; "\Transactions[Amount]"))</f>
        <v>0</v>
      </c>
      <c r="L20" s="16">
        <f ca="1">_2022_11\Budgets[[#This Row],[Amount]]+IF(NOT(_2022_11\Budgets[[#This Row],[Rollover From Last Month]]=""),_2022_11\Budgets[[#This Row],[Rollover From Last Month]],0)-_2022_11\Budgets[[#This Row],[Total Spent]]</f>
        <v>1250</v>
      </c>
    </row>
    <row r="22" spans="2:14" x14ac:dyDescent="0.25">
      <c r="G22" s="1"/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14"/>
      <c r="K34" s="14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</row>
    <row r="37" spans="2:14" x14ac:dyDescent="0.25">
      <c r="B37" s="11"/>
      <c r="C37" s="8"/>
      <c r="D37" s="8"/>
      <c r="E37" s="8"/>
      <c r="F37" s="9"/>
    </row>
    <row r="38" spans="2:14" x14ac:dyDescent="0.25">
      <c r="B38" s="11"/>
      <c r="C38" s="8"/>
      <c r="D38" s="8"/>
      <c r="E38" s="8"/>
      <c r="F38" s="9"/>
    </row>
    <row r="39" spans="2:14" x14ac:dyDescent="0.25">
      <c r="B39" s="11"/>
      <c r="C39" s="8"/>
      <c r="D39" s="8"/>
      <c r="E39" s="8"/>
      <c r="F39" s="9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/>
  <dataValidations count="4">
    <dataValidation type="list" allowBlank="1" showInputMessage="1" showErrorMessage="1" sqref="I27:I35" xr:uid="{C6398B61-2703-4DBF-B725-F64550714638}">
      <formula1>"Spending,Reserve,Savings,Loan,Safety Net,Retirement"</formula1>
    </dataValidation>
    <dataValidation type="list" allowBlank="1" showInputMessage="1" showErrorMessage="1" sqref="E27:E127" xr:uid="{D11D09F6-F372-4DDD-9F78-64F85E7B2919}">
      <formula1>INDIRECT("_" &amp; SUBSTITUTE($C$2,"-","_") &amp; "\Budgets[Name]")</formula1>
    </dataValidation>
    <dataValidation type="list" showInputMessage="1" showErrorMessage="1" sqref="G20" xr:uid="{1E54D925-A4EC-4E5D-AE67-2861E1992E45}">
      <formula1>"Rolling,Fixed,Saving"</formula1>
    </dataValidation>
    <dataValidation type="list" showInputMessage="1" showErrorMessage="1" sqref="G6:G19" xr:uid="{89139F4A-B51D-4A78-8981-BE1BC6EDB98A}">
      <formula1>"Rolling,Fixed"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D5FD-9500-48A9-9833-B02AEC1954FD}">
  <sheetPr codeName="Sheet4"/>
  <dimension ref="B2:N127"/>
  <sheetViews>
    <sheetView workbookViewId="0">
      <selection activeCell="E33" sqref="E33"/>
    </sheetView>
  </sheetViews>
  <sheetFormatPr defaultRowHeight="15" x14ac:dyDescent="0.25"/>
  <cols>
    <col min="2" max="2" width="36.85546875" customWidth="1"/>
    <col min="3" max="3" width="26.140625" customWidth="1"/>
    <col min="4" max="4" width="26.28515625" customWidth="1"/>
    <col min="5" max="5" width="27.8554687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</cols>
  <sheetData>
    <row r="2" spans="2:12" x14ac:dyDescent="0.25">
      <c r="B2" s="1" t="s">
        <v>21</v>
      </c>
      <c r="C2" t="str" cm="1">
        <f t="array" aca="1" ref="C2" ca="1">_xlfn.TEXTAFTER(CELL("filename",A1),"]")</f>
        <v>2022-10</v>
      </c>
      <c r="D2" s="1" t="s">
        <v>22</v>
      </c>
      <c r="E2" t="str">
        <f ca="1">_xlfn.CONCAT(IF(RIGHT(C2,2)="01", VALUE(LEFT(C2,4))-1, LEFT(C2,4)), "-", IF(RIGHT(C2,2)="01","12",VALUE(RIGHT(C2,2))-1))</f>
        <v>2022-9</v>
      </c>
    </row>
    <row r="4" spans="2:12" ht="23.25" x14ac:dyDescent="0.35">
      <c r="B4" s="2" t="s">
        <v>6</v>
      </c>
      <c r="F4" s="2" t="s">
        <v>0</v>
      </c>
    </row>
    <row r="5" spans="2:12" x14ac:dyDescent="0.25">
      <c r="B5" s="1" t="s">
        <v>9</v>
      </c>
      <c r="C5" s="6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38</v>
      </c>
      <c r="L5" s="1" t="s">
        <v>4</v>
      </c>
    </row>
    <row r="6" spans="2:12" x14ac:dyDescent="0.25">
      <c r="B6" s="1" t="s">
        <v>10</v>
      </c>
      <c r="C6" s="7">
        <v>0</v>
      </c>
      <c r="F6" s="8"/>
      <c r="G6" s="8" t="s">
        <v>12</v>
      </c>
      <c r="H6" s="9">
        <v>150</v>
      </c>
      <c r="I6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6" s="9">
        <v>0</v>
      </c>
      <c r="K6" s="16">
        <f ca="1">SUMIF(INDIRECT("_" &amp; SUBSTITUTE($C$2,"-","_") &amp; "\Transactions[Category]"),Budgets[[#This Row],[Name]],INDIRECT("_" &amp; SUBSTITUTE($C$2,"-","_") &amp; "\Transactions[Amount]"))</f>
        <v>0</v>
      </c>
      <c r="L6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150</v>
      </c>
    </row>
    <row r="7" spans="2:12" x14ac:dyDescent="0.25">
      <c r="B7" s="1" t="s">
        <v>7</v>
      </c>
      <c r="C7" s="7">
        <v>0</v>
      </c>
      <c r="F7" s="8"/>
      <c r="G7" s="8" t="s">
        <v>13</v>
      </c>
      <c r="H7" s="9">
        <v>200</v>
      </c>
      <c r="I7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7" s="9"/>
      <c r="K7" s="16">
        <f ca="1">SUMIF(INDIRECT("_" &amp; SUBSTITUTE($C$2,"-","_") &amp; "\Transactions[Category]"),Budgets[[#This Row],[Name]],INDIRECT("_" &amp; SUBSTITUTE($C$2,"-","_") &amp; "\Transactions[Amount]"))</f>
        <v>0</v>
      </c>
      <c r="L7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200</v>
      </c>
    </row>
    <row r="8" spans="2:12" x14ac:dyDescent="0.25">
      <c r="B8" s="1" t="s">
        <v>8</v>
      </c>
      <c r="C8" s="4">
        <f>0.25*(C5+C6-C7)</f>
        <v>0</v>
      </c>
      <c r="F8" s="8"/>
      <c r="G8" s="8" t="s">
        <v>12</v>
      </c>
      <c r="H8" s="9">
        <v>250</v>
      </c>
      <c r="I8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8" s="9">
        <v>0</v>
      </c>
      <c r="K8" s="16">
        <f ca="1">SUMIF(INDIRECT("_" &amp; SUBSTITUTE($C$2,"-","_") &amp; "\Transactions[Category]"),Budgets[[#This Row],[Name]],INDIRECT("_" &amp; SUBSTITUTE($C$2,"-","_") &amp; "\Transactions[Amount]"))</f>
        <v>0</v>
      </c>
      <c r="L8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250</v>
      </c>
    </row>
    <row r="9" spans="2:12" x14ac:dyDescent="0.25">
      <c r="B9" s="1" t="s">
        <v>11</v>
      </c>
      <c r="C9" s="4">
        <f>C5+C6-C7-C8</f>
        <v>0</v>
      </c>
      <c r="F9" s="8"/>
      <c r="G9" s="8" t="s">
        <v>13</v>
      </c>
      <c r="H9" s="9">
        <v>125</v>
      </c>
      <c r="I9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9" s="9"/>
      <c r="K9" s="16">
        <f ca="1">SUMIF(INDIRECT("_" &amp; SUBSTITUTE($C$2,"-","_") &amp; "\Transactions[Category]"),Budgets[[#This Row],[Name]],INDIRECT("_" &amp; SUBSTITUTE($C$2,"-","_") &amp; "\Transactions[Amount]"))</f>
        <v>0</v>
      </c>
      <c r="L9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125</v>
      </c>
    </row>
    <row r="10" spans="2:12" x14ac:dyDescent="0.25">
      <c r="F10" s="8"/>
      <c r="G10" s="8" t="s">
        <v>13</v>
      </c>
      <c r="H10" s="9">
        <v>125</v>
      </c>
      <c r="I10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0" s="9"/>
      <c r="K10" s="16">
        <f ca="1">SUMIF(INDIRECT("_" &amp; SUBSTITUTE($C$2,"-","_") &amp; "\Transactions[Category]"),Budgets[[#This Row],[Name]],INDIRECT("_" &amp; SUBSTITUTE($C$2,"-","_") &amp; "\Transactions[Amount]"))</f>
        <v>0</v>
      </c>
      <c r="L10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125</v>
      </c>
    </row>
    <row r="11" spans="2:12" x14ac:dyDescent="0.25">
      <c r="B11" s="1" t="s">
        <v>39</v>
      </c>
      <c r="C11" s="3">
        <f ca="1">SUM(INDIRECT("_" &amp; SUBSTITUTE($C$2,"-","_") &amp; "\Budgets[Amount]"))</f>
        <v>5620</v>
      </c>
      <c r="F11" s="8"/>
      <c r="G11" s="8" t="s">
        <v>13</v>
      </c>
      <c r="H11" s="9">
        <v>125</v>
      </c>
      <c r="I11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1" s="9"/>
      <c r="K11" s="16">
        <f ca="1">SUMIF(INDIRECT("_" &amp; SUBSTITUTE($C$2,"-","_") &amp; "\Transactions[Category]"),Budgets[[#This Row],[Name]],INDIRECT("_" &amp; SUBSTITUTE($C$2,"-","_") &amp; "\Transactions[Amount]"))</f>
        <v>0</v>
      </c>
      <c r="L11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125</v>
      </c>
    </row>
    <row r="12" spans="2:12" x14ac:dyDescent="0.25">
      <c r="B12" s="1" t="s">
        <v>15</v>
      </c>
      <c r="C12" s="4">
        <f ca="1">C9-C11</f>
        <v>-5620</v>
      </c>
      <c r="F12" s="8"/>
      <c r="G12" s="8" t="s">
        <v>13</v>
      </c>
      <c r="H12" s="9">
        <v>300</v>
      </c>
      <c r="I12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2" s="9"/>
      <c r="K12" s="16">
        <f ca="1">SUMIF(INDIRECT("_" &amp; SUBSTITUTE($C$2,"-","_") &amp; "\Transactions[Category]"),Budgets[[#This Row],[Name]],INDIRECT("_" &amp; SUBSTITUTE($C$2,"-","_") &amp; "\Transactions[Amount]"))</f>
        <v>0</v>
      </c>
      <c r="L12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300</v>
      </c>
    </row>
    <row r="13" spans="2:12" x14ac:dyDescent="0.25">
      <c r="B13" s="1" t="s">
        <v>24</v>
      </c>
      <c r="C13" s="5">
        <f ca="1">SUMIF(INDIRECT("_" &amp; SUBSTITUTE($C$2,"-","_") &amp; "\Budgets[Type]"), "=Saving", INDIRECT("_" &amp; SUBSTITUTE($C$2,"-","_") &amp; "\Budgets[Amount]"))</f>
        <v>1250</v>
      </c>
      <c r="F13" s="8"/>
      <c r="G13" s="8" t="s">
        <v>12</v>
      </c>
      <c r="H13" s="9">
        <v>150</v>
      </c>
      <c r="I13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13" s="9">
        <v>0</v>
      </c>
      <c r="K13" s="16">
        <f ca="1">SUMIF(INDIRECT("_" &amp; SUBSTITUTE($C$2,"-","_") &amp; "\Transactions[Category]"),Budgets[[#This Row],[Name]],INDIRECT("_" &amp; SUBSTITUTE($C$2,"-","_") &amp; "\Transactions[Amount]"))</f>
        <v>0</v>
      </c>
      <c r="L13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150</v>
      </c>
    </row>
    <row r="14" spans="2:12" x14ac:dyDescent="0.25">
      <c r="F14" s="8"/>
      <c r="G14" s="8" t="s">
        <v>13</v>
      </c>
      <c r="H14" s="9">
        <v>1780</v>
      </c>
      <c r="I14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4" s="9"/>
      <c r="K14" s="16">
        <f ca="1">SUMIF(INDIRECT("_" &amp; SUBSTITUTE($C$2,"-","_") &amp; "\Transactions[Category]"),Budgets[[#This Row],[Name]],INDIRECT("_" &amp; SUBSTITUTE($C$2,"-","_") &amp; "\Transactions[Amount]"))</f>
        <v>0</v>
      </c>
      <c r="L14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1780</v>
      </c>
    </row>
    <row r="15" spans="2:12" x14ac:dyDescent="0.25">
      <c r="B15" s="1" t="s">
        <v>37</v>
      </c>
      <c r="C15" s="5">
        <f ca="1">SUM(INDIRECT("_" &amp; SUBSTITUTE($C$2,"-","_") &amp; "\Income[Amount]"))</f>
        <v>0</v>
      </c>
      <c r="F15" s="8"/>
      <c r="G15" s="8" t="s">
        <v>12</v>
      </c>
      <c r="H15" s="9">
        <v>250</v>
      </c>
      <c r="I15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15" s="9">
        <v>0</v>
      </c>
      <c r="K15" s="16">
        <f ca="1">SUMIF(INDIRECT("_" &amp; SUBSTITUTE($C$2,"-","_") &amp; "\Transactions[Category]"),Budgets[[#This Row],[Name]],INDIRECT("_" &amp; SUBSTITUTE($C$2,"-","_") &amp; "\Transactions[Amount]"))</f>
        <v>0</v>
      </c>
      <c r="L15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250</v>
      </c>
    </row>
    <row r="16" spans="2:12" x14ac:dyDescent="0.25">
      <c r="B16" s="1" t="s">
        <v>41</v>
      </c>
      <c r="C16" s="5">
        <f ca="1">C15-C11</f>
        <v>-5620</v>
      </c>
      <c r="F16" s="8"/>
      <c r="G16" s="8" t="s">
        <v>13</v>
      </c>
      <c r="H16" s="9">
        <v>350</v>
      </c>
      <c r="I16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6" s="9"/>
      <c r="K16" s="16">
        <f ca="1">SUMIF(INDIRECT("_" &amp; SUBSTITUTE($C$2,"-","_") &amp; "\Transactions[Category]"),Budgets[[#This Row],[Name]],INDIRECT("_" &amp; SUBSTITUTE($C$2,"-","_") &amp; "\Transactions[Amount]"))</f>
        <v>0</v>
      </c>
      <c r="L16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350</v>
      </c>
    </row>
    <row r="17" spans="2:14" x14ac:dyDescent="0.25">
      <c r="F17" s="8"/>
      <c r="G17" s="8" t="s">
        <v>12</v>
      </c>
      <c r="H17" s="9">
        <v>200</v>
      </c>
      <c r="I17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17" s="9">
        <v>0</v>
      </c>
      <c r="K17" s="16">
        <f ca="1">SUMIF(INDIRECT("_" &amp; SUBSTITUTE($C$2,"-","_") &amp; "\Transactions[Category]"),Budgets[[#This Row],[Name]],INDIRECT("_" &amp; SUBSTITUTE($C$2,"-","_") &amp; "\Transactions[Amount]"))</f>
        <v>0</v>
      </c>
      <c r="L17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200</v>
      </c>
    </row>
    <row r="18" spans="2:14" x14ac:dyDescent="0.25">
      <c r="B18" s="1" t="s">
        <v>42</v>
      </c>
      <c r="C18" s="5">
        <f ca="1">SUM(INDIRECT("_" &amp; SUBSTITUTE($C$2,"-","_") &amp; "\Transactions[Amount]"))</f>
        <v>0</v>
      </c>
      <c r="F18" s="8"/>
      <c r="G18" s="8" t="s">
        <v>12</v>
      </c>
      <c r="H18" s="9">
        <v>300</v>
      </c>
      <c r="I18" s="10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>0</v>
      </c>
      <c r="J18" s="9">
        <v>0</v>
      </c>
      <c r="K18" s="16">
        <f ca="1">SUMIF(INDIRECT("_" &amp; SUBSTITUTE($C$2,"-","_") &amp; "\Transactions[Category]"),Budgets[[#This Row],[Name]],INDIRECT("_" &amp; SUBSTITUTE($C$2,"-","_") &amp; "\Transactions[Amount]"))</f>
        <v>0</v>
      </c>
      <c r="L18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300</v>
      </c>
    </row>
    <row r="19" spans="2:14" x14ac:dyDescent="0.25">
      <c r="B19" s="1" t="s">
        <v>40</v>
      </c>
      <c r="C19" s="5">
        <f ca="1">C11-C18</f>
        <v>5620</v>
      </c>
      <c r="F19" s="8"/>
      <c r="G19" s="8" t="s">
        <v>13</v>
      </c>
      <c r="H19" s="9">
        <v>65</v>
      </c>
      <c r="I19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19" s="9"/>
      <c r="K19" s="16">
        <f ca="1">SUMIF(INDIRECT("_" &amp; SUBSTITUTE($C$2,"-","_") &amp; "\Transactions[Category]"),Budgets[[#This Row],[Name]],INDIRECT("_" &amp; SUBSTITUTE($C$2,"-","_") &amp; "\Transactions[Amount]"))</f>
        <v>0</v>
      </c>
      <c r="L19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65</v>
      </c>
    </row>
    <row r="20" spans="2:14" x14ac:dyDescent="0.25">
      <c r="F20" s="8"/>
      <c r="G20" s="8" t="s">
        <v>25</v>
      </c>
      <c r="H20" s="9">
        <v>1250</v>
      </c>
      <c r="I20" s="10" t="str">
        <f ca="1">IF(_2022_10\Budgets[[#This Row],[Type]]&lt;&gt;"Rolling", "", IF(NOT(ISBLANK(_2022_10\Budgets[[#This Row],[Override Rollover Amount]])), _2022_10\Budgets[[#This Row],[Override Rollover Amount]], SUMIF(INDIRECT("_" &amp; SUBSTITUTE($E$2,"-","_") &amp; "\Budgets[Name]"),_2022_10\Budgets[[#This Row],[Name]],INDIRECT("_" &amp; SUBSTITUTE($E$2,"-","_") &amp; "\Budgets[Remaining Budget]"))))</f>
        <v/>
      </c>
      <c r="J20" s="9"/>
      <c r="K20" s="16">
        <f ca="1">SUMIF(INDIRECT("_" &amp; SUBSTITUTE($C$2,"-","_") &amp; "\Transactions[Category]"),Budgets[[#This Row],[Name]],INDIRECT("_" &amp; SUBSTITUTE($C$2,"-","_") &amp; "\Transactions[Amount]"))</f>
        <v>0</v>
      </c>
      <c r="L20" s="16">
        <f ca="1">_2022_10\Budgets[[#This Row],[Amount]]+IF(NOT(_2022_10\Budgets[[#This Row],[Rollover From Last Month]]=""),_2022_10\Budgets[[#This Row],[Rollover From Last Month]],0)-SUMIF(INDIRECT("_" &amp; SUBSTITUTE($C$2,"-","_") &amp; "\Transactions[Category]"),_2022_10\Budgets[[#This Row],[Name]],INDIRECT("_" &amp; SUBSTITUTE($C$2,"-","_") &amp; "\Transactions[Amount]"))</f>
        <v>1250</v>
      </c>
    </row>
    <row r="22" spans="2:14" x14ac:dyDescent="0.25">
      <c r="G22" s="1"/>
    </row>
    <row r="25" spans="2:14" ht="23.25" x14ac:dyDescent="0.35">
      <c r="B25" s="2" t="s">
        <v>16</v>
      </c>
      <c r="H25" s="2" t="s">
        <v>31</v>
      </c>
    </row>
    <row r="26" spans="2:14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2</v>
      </c>
      <c r="H26" s="1" t="s">
        <v>5</v>
      </c>
      <c r="I26" s="1" t="s">
        <v>20</v>
      </c>
      <c r="J26" s="1" t="s">
        <v>26</v>
      </c>
      <c r="K26" s="1" t="s">
        <v>27</v>
      </c>
      <c r="L26" s="1" t="s">
        <v>28</v>
      </c>
      <c r="M26" s="1" t="s">
        <v>29</v>
      </c>
      <c r="N26" s="1" t="s">
        <v>30</v>
      </c>
    </row>
    <row r="27" spans="2:14" x14ac:dyDescent="0.25">
      <c r="B27" s="11"/>
      <c r="C27" s="8"/>
      <c r="D27" s="8"/>
      <c r="E27" s="8"/>
      <c r="F27" s="9"/>
      <c r="H27" s="8"/>
      <c r="I27" s="8" t="s">
        <v>32</v>
      </c>
      <c r="J27" s="9"/>
      <c r="K27" s="9"/>
      <c r="L27" s="9"/>
      <c r="M27" s="9"/>
      <c r="N27" s="9"/>
    </row>
    <row r="28" spans="2:14" x14ac:dyDescent="0.25">
      <c r="B28" s="11"/>
      <c r="C28" s="8"/>
      <c r="D28" s="8"/>
      <c r="E28" s="8"/>
      <c r="F28" s="9"/>
      <c r="H28" s="8"/>
      <c r="I28" s="8" t="s">
        <v>33</v>
      </c>
      <c r="J28" s="9"/>
      <c r="K28" s="9"/>
      <c r="L28" s="9"/>
      <c r="M28" s="9"/>
      <c r="N28" s="9"/>
    </row>
    <row r="29" spans="2:14" x14ac:dyDescent="0.25">
      <c r="B29" s="11"/>
      <c r="C29" s="8"/>
      <c r="D29" s="8"/>
      <c r="E29" s="8"/>
      <c r="F29" s="9"/>
      <c r="H29" s="8"/>
      <c r="I29" s="8" t="s">
        <v>34</v>
      </c>
      <c r="J29" s="9"/>
      <c r="K29" s="9"/>
      <c r="L29" s="9"/>
      <c r="M29" s="9"/>
      <c r="N29" s="9"/>
    </row>
    <row r="30" spans="2:14" x14ac:dyDescent="0.25">
      <c r="B30" s="11"/>
      <c r="C30" s="8"/>
      <c r="D30" s="8"/>
      <c r="E30" s="8"/>
      <c r="F30" s="9"/>
      <c r="H30" s="8"/>
      <c r="I30" s="8" t="s">
        <v>23</v>
      </c>
      <c r="J30" s="9"/>
      <c r="K30" s="9"/>
      <c r="L30" s="9"/>
      <c r="M30" s="9"/>
      <c r="N30" s="9"/>
    </row>
    <row r="31" spans="2:14" x14ac:dyDescent="0.25">
      <c r="B31" s="11"/>
      <c r="C31" s="8"/>
      <c r="D31" s="8"/>
      <c r="E31" s="8"/>
      <c r="F31" s="9"/>
      <c r="H31" s="8"/>
      <c r="I31" s="8" t="s">
        <v>23</v>
      </c>
      <c r="J31" s="9"/>
      <c r="K31" s="9"/>
      <c r="L31" s="9"/>
      <c r="M31" s="9"/>
      <c r="N31" s="9"/>
    </row>
    <row r="32" spans="2:14" x14ac:dyDescent="0.25">
      <c r="B32" s="11"/>
      <c r="C32" s="8"/>
      <c r="D32" s="8"/>
      <c r="E32" s="8"/>
      <c r="F32" s="9"/>
      <c r="H32" s="8"/>
      <c r="I32" s="8" t="s">
        <v>23</v>
      </c>
      <c r="J32" s="9"/>
      <c r="K32" s="9"/>
      <c r="L32" s="9"/>
      <c r="M32" s="9"/>
      <c r="N32" s="9"/>
    </row>
    <row r="33" spans="2:14" x14ac:dyDescent="0.25">
      <c r="B33" s="11"/>
      <c r="C33" s="8"/>
      <c r="D33" s="8"/>
      <c r="E33" s="8"/>
      <c r="F33" s="9"/>
      <c r="H33" s="8"/>
      <c r="I33" s="8" t="s">
        <v>34</v>
      </c>
      <c r="J33" s="9"/>
      <c r="K33" s="9"/>
      <c r="L33" s="9"/>
      <c r="M33" s="9"/>
      <c r="N33" s="9"/>
    </row>
    <row r="34" spans="2:14" x14ac:dyDescent="0.25">
      <c r="B34" s="11"/>
      <c r="C34" s="8"/>
      <c r="D34" s="8"/>
      <c r="E34" s="8"/>
      <c r="F34" s="9"/>
      <c r="H34" s="8"/>
      <c r="I34" s="8" t="s">
        <v>23</v>
      </c>
      <c r="J34" s="9"/>
      <c r="K34" s="9"/>
      <c r="L34" s="9"/>
      <c r="M34" s="9"/>
      <c r="N34" s="9"/>
    </row>
    <row r="35" spans="2:14" x14ac:dyDescent="0.25">
      <c r="B35" s="11"/>
      <c r="C35" s="8"/>
      <c r="D35" s="8"/>
      <c r="E35" s="8"/>
      <c r="F35" s="9"/>
      <c r="H35" s="12"/>
      <c r="I35" s="12" t="s">
        <v>35</v>
      </c>
      <c r="J35" s="14"/>
      <c r="K35" s="14"/>
      <c r="L35" s="14"/>
      <c r="M35" s="14"/>
      <c r="N35" s="14"/>
    </row>
    <row r="36" spans="2:14" x14ac:dyDescent="0.25">
      <c r="B36" s="11"/>
      <c r="C36" s="8"/>
      <c r="D36" s="8"/>
      <c r="E36" s="8"/>
      <c r="F36" s="9"/>
    </row>
    <row r="37" spans="2:14" x14ac:dyDescent="0.25">
      <c r="B37" s="11"/>
      <c r="C37" s="8"/>
      <c r="D37" s="8"/>
      <c r="E37" s="8"/>
      <c r="F37" s="9"/>
    </row>
    <row r="38" spans="2:14" x14ac:dyDescent="0.25">
      <c r="B38" s="11"/>
      <c r="C38" s="8"/>
      <c r="D38" s="8"/>
      <c r="E38" s="8"/>
      <c r="F38" s="9"/>
    </row>
    <row r="39" spans="2:14" x14ac:dyDescent="0.25">
      <c r="B39" s="11"/>
      <c r="C39" s="8"/>
      <c r="D39" s="8"/>
      <c r="E39" s="8"/>
      <c r="F39" s="9"/>
    </row>
    <row r="40" spans="2:14" x14ac:dyDescent="0.25">
      <c r="B40" s="11"/>
      <c r="C40" s="8"/>
      <c r="D40" s="8"/>
      <c r="E40" s="8"/>
      <c r="F40" s="9"/>
    </row>
    <row r="41" spans="2:14" ht="23.25" x14ac:dyDescent="0.35">
      <c r="B41" s="11"/>
      <c r="C41" s="8"/>
      <c r="D41" s="8"/>
      <c r="E41" s="8"/>
      <c r="F41" s="9"/>
      <c r="H41" s="2" t="s">
        <v>6</v>
      </c>
    </row>
    <row r="42" spans="2:14" x14ac:dyDescent="0.25">
      <c r="B42" s="11"/>
      <c r="C42" s="8"/>
      <c r="D42" s="8"/>
      <c r="E42" s="8"/>
      <c r="F42" s="9"/>
      <c r="H42" s="1" t="s">
        <v>17</v>
      </c>
      <c r="I42" s="1" t="s">
        <v>36</v>
      </c>
      <c r="J42" s="1" t="s">
        <v>2</v>
      </c>
    </row>
    <row r="43" spans="2:14" x14ac:dyDescent="0.25">
      <c r="B43" s="11"/>
      <c r="C43" s="8"/>
      <c r="D43" s="8"/>
      <c r="E43" s="8"/>
      <c r="F43" s="9"/>
      <c r="H43" s="11"/>
      <c r="I43" s="8"/>
      <c r="J43" s="9"/>
    </row>
    <row r="44" spans="2:14" x14ac:dyDescent="0.25">
      <c r="B44" s="11"/>
      <c r="C44" s="8"/>
      <c r="D44" s="8"/>
      <c r="E44" s="8"/>
      <c r="F44" s="9"/>
      <c r="H44" s="11"/>
      <c r="I44" s="8"/>
      <c r="J44" s="9"/>
    </row>
    <row r="45" spans="2:14" x14ac:dyDescent="0.25">
      <c r="B45" s="11"/>
      <c r="C45" s="8"/>
      <c r="D45" s="8"/>
      <c r="E45" s="8"/>
      <c r="F45" s="9"/>
      <c r="H45" s="11"/>
      <c r="I45" s="8"/>
      <c r="J45" s="9"/>
    </row>
    <row r="46" spans="2:14" x14ac:dyDescent="0.25">
      <c r="B46" s="11"/>
      <c r="C46" s="8"/>
      <c r="D46" s="8"/>
      <c r="E46" s="8"/>
      <c r="F46" s="9"/>
      <c r="H46" s="11"/>
      <c r="I46" s="8"/>
      <c r="J46" s="9"/>
    </row>
    <row r="47" spans="2:14" x14ac:dyDescent="0.25">
      <c r="B47" s="11"/>
      <c r="C47" s="8"/>
      <c r="D47" s="8"/>
      <c r="E47" s="8"/>
      <c r="F47" s="9"/>
      <c r="H47" s="11"/>
      <c r="I47" s="8"/>
      <c r="J47" s="9"/>
    </row>
    <row r="48" spans="2:14" x14ac:dyDescent="0.25">
      <c r="B48" s="11"/>
      <c r="C48" s="8"/>
      <c r="D48" s="8"/>
      <c r="E48" s="8"/>
      <c r="F48" s="9"/>
      <c r="H48" s="11"/>
      <c r="I48" s="8"/>
      <c r="J48" s="9"/>
    </row>
    <row r="49" spans="2:10" x14ac:dyDescent="0.25">
      <c r="B49" s="11"/>
      <c r="C49" s="8"/>
      <c r="D49" s="8"/>
      <c r="E49" s="8"/>
      <c r="F49" s="9"/>
      <c r="H49" s="11"/>
      <c r="I49" s="8"/>
      <c r="J49" s="9"/>
    </row>
    <row r="50" spans="2:10" x14ac:dyDescent="0.25">
      <c r="B50" s="11"/>
      <c r="C50" s="8"/>
      <c r="D50" s="8"/>
      <c r="E50" s="8"/>
      <c r="F50" s="9"/>
      <c r="H50" s="11"/>
      <c r="I50" s="8"/>
      <c r="J50" s="9"/>
    </row>
    <row r="51" spans="2:10" x14ac:dyDescent="0.25">
      <c r="B51" s="11"/>
      <c r="C51" s="8"/>
      <c r="D51" s="8"/>
      <c r="E51" s="8"/>
      <c r="F51" s="9"/>
      <c r="H51" s="13"/>
      <c r="I51" s="12"/>
      <c r="J51" s="14"/>
    </row>
    <row r="52" spans="2:10" x14ac:dyDescent="0.25">
      <c r="B52" s="11"/>
      <c r="C52" s="8"/>
      <c r="D52" s="8"/>
      <c r="E52" s="8"/>
      <c r="F52" s="9"/>
    </row>
    <row r="53" spans="2:10" x14ac:dyDescent="0.25">
      <c r="B53" s="11"/>
      <c r="C53" s="8"/>
      <c r="D53" s="8"/>
      <c r="E53" s="8"/>
      <c r="F53" s="9"/>
    </row>
    <row r="54" spans="2:10" x14ac:dyDescent="0.25">
      <c r="B54" s="11"/>
      <c r="C54" s="8"/>
      <c r="D54" s="8"/>
      <c r="E54" s="8"/>
      <c r="F54" s="9"/>
    </row>
    <row r="55" spans="2:10" x14ac:dyDescent="0.25">
      <c r="B55" s="11"/>
      <c r="C55" s="8"/>
      <c r="D55" s="8"/>
      <c r="E55" s="8"/>
      <c r="F55" s="9"/>
    </row>
    <row r="56" spans="2:10" x14ac:dyDescent="0.25">
      <c r="B56" s="11"/>
      <c r="C56" s="8"/>
      <c r="D56" s="8"/>
      <c r="E56" s="8"/>
      <c r="F56" s="9"/>
    </row>
    <row r="57" spans="2:10" x14ac:dyDescent="0.25">
      <c r="B57" s="11"/>
      <c r="C57" s="8"/>
      <c r="D57" s="8"/>
      <c r="E57" s="8"/>
      <c r="F57" s="9"/>
    </row>
    <row r="58" spans="2:10" x14ac:dyDescent="0.25">
      <c r="B58" s="11"/>
      <c r="C58" s="8"/>
      <c r="D58" s="8"/>
      <c r="E58" s="8"/>
      <c r="F58" s="9"/>
    </row>
    <row r="59" spans="2:10" x14ac:dyDescent="0.25">
      <c r="B59" s="11"/>
      <c r="C59" s="8"/>
      <c r="D59" s="8"/>
      <c r="E59" s="8"/>
      <c r="F59" s="9"/>
    </row>
    <row r="60" spans="2:10" x14ac:dyDescent="0.25">
      <c r="B60" s="11"/>
      <c r="C60" s="8"/>
      <c r="D60" s="8"/>
      <c r="E60" s="8"/>
      <c r="F60" s="9"/>
    </row>
    <row r="61" spans="2:10" x14ac:dyDescent="0.25">
      <c r="B61" s="11"/>
      <c r="C61" s="8"/>
      <c r="D61" s="8"/>
      <c r="E61" s="8"/>
      <c r="F61" s="9"/>
    </row>
    <row r="62" spans="2:10" x14ac:dyDescent="0.25">
      <c r="B62" s="11"/>
      <c r="C62" s="8"/>
      <c r="D62" s="8"/>
      <c r="E62" s="8"/>
      <c r="F62" s="9"/>
    </row>
    <row r="63" spans="2:10" x14ac:dyDescent="0.25">
      <c r="B63" s="11"/>
      <c r="C63" s="8"/>
      <c r="D63" s="8"/>
      <c r="E63" s="8"/>
      <c r="F63" s="9"/>
    </row>
    <row r="64" spans="2:10" x14ac:dyDescent="0.25">
      <c r="B64" s="11"/>
      <c r="C64" s="8"/>
      <c r="D64" s="8"/>
      <c r="E64" s="8"/>
      <c r="F64" s="9"/>
    </row>
    <row r="65" spans="2:6" x14ac:dyDescent="0.25">
      <c r="B65" s="11"/>
      <c r="C65" s="8"/>
      <c r="D65" s="8"/>
      <c r="E65" s="8"/>
      <c r="F65" s="9"/>
    </row>
    <row r="66" spans="2:6" x14ac:dyDescent="0.25">
      <c r="B66" s="11"/>
      <c r="C66" s="8"/>
      <c r="D66" s="8"/>
      <c r="E66" s="8"/>
      <c r="F66" s="9"/>
    </row>
    <row r="67" spans="2:6" x14ac:dyDescent="0.25">
      <c r="B67" s="11"/>
      <c r="C67" s="8"/>
      <c r="D67" s="8"/>
      <c r="E67" s="8"/>
      <c r="F67" s="9"/>
    </row>
    <row r="68" spans="2:6" x14ac:dyDescent="0.25">
      <c r="B68" s="11"/>
      <c r="C68" s="8"/>
      <c r="D68" s="8"/>
      <c r="E68" s="8"/>
      <c r="F68" s="9"/>
    </row>
    <row r="69" spans="2:6" x14ac:dyDescent="0.25">
      <c r="B69" s="11"/>
      <c r="C69" s="8"/>
      <c r="D69" s="8"/>
      <c r="E69" s="8"/>
      <c r="F69" s="9"/>
    </row>
    <row r="70" spans="2:6" x14ac:dyDescent="0.25">
      <c r="B70" s="11"/>
      <c r="C70" s="8"/>
      <c r="D70" s="8"/>
      <c r="E70" s="8"/>
      <c r="F70" s="9"/>
    </row>
    <row r="71" spans="2:6" x14ac:dyDescent="0.25">
      <c r="B71" s="11"/>
      <c r="C71" s="8"/>
      <c r="D71" s="8"/>
      <c r="E71" s="8"/>
      <c r="F71" s="9"/>
    </row>
    <row r="72" spans="2:6" x14ac:dyDescent="0.25">
      <c r="B72" s="11"/>
      <c r="C72" s="8"/>
      <c r="D72" s="8"/>
      <c r="E72" s="8"/>
      <c r="F72" s="9"/>
    </row>
    <row r="73" spans="2:6" x14ac:dyDescent="0.25">
      <c r="B73" s="11"/>
      <c r="C73" s="8"/>
      <c r="D73" s="8"/>
      <c r="E73" s="8"/>
      <c r="F73" s="9"/>
    </row>
    <row r="74" spans="2:6" x14ac:dyDescent="0.25">
      <c r="B74" s="11"/>
      <c r="C74" s="8"/>
      <c r="D74" s="8"/>
      <c r="E74" s="8"/>
      <c r="F74" s="9"/>
    </row>
    <row r="75" spans="2:6" x14ac:dyDescent="0.25">
      <c r="B75" s="11"/>
      <c r="C75" s="8"/>
      <c r="D75" s="8"/>
      <c r="E75" s="8"/>
      <c r="F75" s="9"/>
    </row>
    <row r="76" spans="2:6" x14ac:dyDescent="0.25">
      <c r="B76" s="11"/>
      <c r="C76" s="8"/>
      <c r="D76" s="8"/>
      <c r="E76" s="8"/>
      <c r="F76" s="9"/>
    </row>
    <row r="77" spans="2:6" x14ac:dyDescent="0.25">
      <c r="B77" s="11"/>
      <c r="C77" s="8"/>
      <c r="D77" s="8"/>
      <c r="E77" s="8"/>
      <c r="F77" s="9"/>
    </row>
    <row r="78" spans="2:6" x14ac:dyDescent="0.25">
      <c r="B78" s="11"/>
      <c r="C78" s="8"/>
      <c r="D78" s="8"/>
      <c r="E78" s="8"/>
      <c r="F78" s="9"/>
    </row>
    <row r="79" spans="2:6" x14ac:dyDescent="0.25">
      <c r="B79" s="11"/>
      <c r="C79" s="8"/>
      <c r="D79" s="8"/>
      <c r="E79" s="8"/>
      <c r="F79" s="9"/>
    </row>
    <row r="80" spans="2:6" x14ac:dyDescent="0.25">
      <c r="B80" s="11"/>
      <c r="C80" s="8"/>
      <c r="D80" s="8"/>
      <c r="E80" s="8"/>
      <c r="F80" s="9"/>
    </row>
    <row r="81" spans="2:6" x14ac:dyDescent="0.25">
      <c r="B81" s="11"/>
      <c r="C81" s="8"/>
      <c r="D81" s="8"/>
      <c r="E81" s="8"/>
      <c r="F81" s="9"/>
    </row>
    <row r="82" spans="2:6" x14ac:dyDescent="0.25">
      <c r="B82" s="11"/>
      <c r="C82" s="8"/>
      <c r="D82" s="8"/>
      <c r="E82" s="8"/>
      <c r="F82" s="9"/>
    </row>
    <row r="83" spans="2:6" x14ac:dyDescent="0.25">
      <c r="B83" s="11"/>
      <c r="C83" s="8"/>
      <c r="D83" s="8"/>
      <c r="E83" s="8"/>
      <c r="F83" s="9"/>
    </row>
    <row r="84" spans="2:6" x14ac:dyDescent="0.25">
      <c r="B84" s="11"/>
      <c r="C84" s="8"/>
      <c r="D84" s="8"/>
      <c r="E84" s="8"/>
      <c r="F84" s="9"/>
    </row>
    <row r="85" spans="2:6" x14ac:dyDescent="0.25">
      <c r="B85" s="11"/>
      <c r="C85" s="8"/>
      <c r="D85" s="8"/>
      <c r="E85" s="8"/>
      <c r="F85" s="9"/>
    </row>
    <row r="86" spans="2:6" x14ac:dyDescent="0.25">
      <c r="B86" s="11"/>
      <c r="C86" s="8"/>
      <c r="D86" s="8"/>
      <c r="E86" s="8"/>
      <c r="F86" s="9"/>
    </row>
    <row r="87" spans="2:6" x14ac:dyDescent="0.25">
      <c r="B87" s="11"/>
      <c r="C87" s="8"/>
      <c r="D87" s="8"/>
      <c r="E87" s="8"/>
      <c r="F87" s="9"/>
    </row>
    <row r="88" spans="2:6" x14ac:dyDescent="0.25">
      <c r="B88" s="11"/>
      <c r="C88" s="8"/>
      <c r="D88" s="8"/>
      <c r="E88" s="8"/>
      <c r="F88" s="9"/>
    </row>
    <row r="89" spans="2:6" x14ac:dyDescent="0.25">
      <c r="B89" s="11"/>
      <c r="C89" s="8"/>
      <c r="D89" s="8"/>
      <c r="E89" s="8"/>
      <c r="F89" s="9"/>
    </row>
    <row r="90" spans="2:6" x14ac:dyDescent="0.25">
      <c r="B90" s="11"/>
      <c r="C90" s="8"/>
      <c r="D90" s="8"/>
      <c r="E90" s="8"/>
      <c r="F90" s="9"/>
    </row>
    <row r="91" spans="2:6" x14ac:dyDescent="0.25">
      <c r="B91" s="11"/>
      <c r="C91" s="8"/>
      <c r="D91" s="8"/>
      <c r="E91" s="8"/>
      <c r="F91" s="9"/>
    </row>
    <row r="92" spans="2:6" x14ac:dyDescent="0.25">
      <c r="B92" s="11"/>
      <c r="C92" s="8"/>
      <c r="D92" s="8"/>
      <c r="E92" s="8"/>
      <c r="F92" s="9"/>
    </row>
    <row r="93" spans="2:6" x14ac:dyDescent="0.25">
      <c r="B93" s="11"/>
      <c r="C93" s="8"/>
      <c r="D93" s="8"/>
      <c r="E93" s="8"/>
      <c r="F93" s="9"/>
    </row>
    <row r="94" spans="2:6" x14ac:dyDescent="0.25">
      <c r="B94" s="11"/>
      <c r="C94" s="8"/>
      <c r="D94" s="8"/>
      <c r="E94" s="8"/>
      <c r="F94" s="9"/>
    </row>
    <row r="95" spans="2:6" x14ac:dyDescent="0.25">
      <c r="B95" s="11"/>
      <c r="C95" s="8"/>
      <c r="D95" s="8"/>
      <c r="E95" s="8"/>
      <c r="F95" s="9"/>
    </row>
    <row r="96" spans="2:6" x14ac:dyDescent="0.25">
      <c r="B96" s="11"/>
      <c r="C96" s="8"/>
      <c r="D96" s="8"/>
      <c r="E96" s="8"/>
      <c r="F96" s="9"/>
    </row>
    <row r="97" spans="2:6" x14ac:dyDescent="0.25">
      <c r="B97" s="11"/>
      <c r="C97" s="8"/>
      <c r="D97" s="8"/>
      <c r="E97" s="8"/>
      <c r="F97" s="9"/>
    </row>
    <row r="98" spans="2:6" x14ac:dyDescent="0.25">
      <c r="B98" s="11"/>
      <c r="C98" s="8"/>
      <c r="D98" s="8"/>
      <c r="E98" s="8"/>
      <c r="F98" s="9"/>
    </row>
    <row r="99" spans="2:6" x14ac:dyDescent="0.25">
      <c r="B99" s="11"/>
      <c r="C99" s="8"/>
      <c r="D99" s="8"/>
      <c r="E99" s="8"/>
      <c r="F99" s="9"/>
    </row>
    <row r="100" spans="2:6" x14ac:dyDescent="0.25">
      <c r="B100" s="11"/>
      <c r="C100" s="8"/>
      <c r="D100" s="8"/>
      <c r="E100" s="8"/>
      <c r="F100" s="9"/>
    </row>
    <row r="101" spans="2:6" x14ac:dyDescent="0.25">
      <c r="B101" s="11"/>
      <c r="C101" s="8"/>
      <c r="D101" s="8"/>
      <c r="E101" s="8"/>
      <c r="F101" s="9"/>
    </row>
    <row r="102" spans="2:6" x14ac:dyDescent="0.25">
      <c r="B102" s="11"/>
      <c r="C102" s="8"/>
      <c r="D102" s="8"/>
      <c r="E102" s="8"/>
      <c r="F102" s="9"/>
    </row>
    <row r="103" spans="2:6" x14ac:dyDescent="0.25">
      <c r="B103" s="11"/>
      <c r="C103" s="8"/>
      <c r="D103" s="8"/>
      <c r="E103" s="8"/>
      <c r="F103" s="9"/>
    </row>
    <row r="104" spans="2:6" x14ac:dyDescent="0.25">
      <c r="B104" s="11"/>
      <c r="C104" s="8"/>
      <c r="D104" s="8"/>
      <c r="E104" s="8"/>
      <c r="F104" s="9"/>
    </row>
    <row r="105" spans="2:6" x14ac:dyDescent="0.25">
      <c r="B105" s="11"/>
      <c r="C105" s="8"/>
      <c r="D105" s="8"/>
      <c r="E105" s="8"/>
      <c r="F105" s="9"/>
    </row>
    <row r="106" spans="2:6" x14ac:dyDescent="0.25">
      <c r="B106" s="11"/>
      <c r="C106" s="8"/>
      <c r="D106" s="8"/>
      <c r="E106" s="8"/>
      <c r="F106" s="9"/>
    </row>
    <row r="107" spans="2:6" x14ac:dyDescent="0.25">
      <c r="B107" s="11"/>
      <c r="C107" s="8"/>
      <c r="D107" s="8"/>
      <c r="E107" s="8"/>
      <c r="F107" s="9"/>
    </row>
    <row r="108" spans="2:6" x14ac:dyDescent="0.25">
      <c r="B108" s="11"/>
      <c r="C108" s="8"/>
      <c r="D108" s="8"/>
      <c r="E108" s="8"/>
      <c r="F108" s="9"/>
    </row>
    <row r="109" spans="2:6" x14ac:dyDescent="0.25">
      <c r="B109" s="11"/>
      <c r="C109" s="8"/>
      <c r="D109" s="8"/>
      <c r="E109" s="8"/>
      <c r="F109" s="9"/>
    </row>
    <row r="110" spans="2:6" x14ac:dyDescent="0.25">
      <c r="B110" s="11"/>
      <c r="C110" s="8"/>
      <c r="D110" s="8"/>
      <c r="E110" s="8"/>
      <c r="F110" s="9"/>
    </row>
    <row r="111" spans="2:6" x14ac:dyDescent="0.25">
      <c r="B111" s="11"/>
      <c r="C111" s="8"/>
      <c r="D111" s="8"/>
      <c r="E111" s="8"/>
      <c r="F111" s="9"/>
    </row>
    <row r="112" spans="2:6" x14ac:dyDescent="0.25">
      <c r="B112" s="11"/>
      <c r="C112" s="8"/>
      <c r="D112" s="8"/>
      <c r="E112" s="8"/>
      <c r="F112" s="9"/>
    </row>
    <row r="113" spans="2:6" x14ac:dyDescent="0.25">
      <c r="B113" s="11"/>
      <c r="C113" s="8"/>
      <c r="D113" s="8"/>
      <c r="E113" s="8"/>
      <c r="F113" s="9"/>
    </row>
    <row r="114" spans="2:6" x14ac:dyDescent="0.25">
      <c r="B114" s="11"/>
      <c r="C114" s="8"/>
      <c r="D114" s="8"/>
      <c r="E114" s="8"/>
      <c r="F114" s="9"/>
    </row>
    <row r="115" spans="2:6" x14ac:dyDescent="0.25">
      <c r="B115" s="11"/>
      <c r="C115" s="8"/>
      <c r="D115" s="8"/>
      <c r="E115" s="8"/>
      <c r="F115" s="9"/>
    </row>
    <row r="116" spans="2:6" x14ac:dyDescent="0.25">
      <c r="B116" s="11"/>
      <c r="C116" s="8"/>
      <c r="D116" s="8"/>
      <c r="E116" s="8"/>
      <c r="F116" s="9"/>
    </row>
    <row r="117" spans="2:6" x14ac:dyDescent="0.25">
      <c r="B117" s="11"/>
      <c r="C117" s="8"/>
      <c r="D117" s="8"/>
      <c r="E117" s="8"/>
      <c r="F117" s="9"/>
    </row>
    <row r="118" spans="2:6" x14ac:dyDescent="0.25">
      <c r="B118" s="11"/>
      <c r="C118" s="8"/>
      <c r="D118" s="8"/>
      <c r="E118" s="8"/>
      <c r="F118" s="9"/>
    </row>
    <row r="119" spans="2:6" x14ac:dyDescent="0.25">
      <c r="B119" s="11"/>
      <c r="C119" s="8"/>
      <c r="D119" s="8"/>
      <c r="E119" s="8"/>
      <c r="F119" s="9"/>
    </row>
    <row r="120" spans="2:6" x14ac:dyDescent="0.25">
      <c r="B120" s="11"/>
      <c r="C120" s="8"/>
      <c r="D120" s="8"/>
      <c r="E120" s="8"/>
      <c r="F120" s="9"/>
    </row>
    <row r="121" spans="2:6" x14ac:dyDescent="0.25">
      <c r="B121" s="11"/>
      <c r="C121" s="8"/>
      <c r="D121" s="8"/>
      <c r="E121" s="8"/>
      <c r="F121" s="9"/>
    </row>
    <row r="122" spans="2:6" x14ac:dyDescent="0.25">
      <c r="B122" s="11"/>
      <c r="C122" s="8"/>
      <c r="D122" s="8"/>
      <c r="E122" s="8"/>
      <c r="F122" s="9"/>
    </row>
    <row r="123" spans="2:6" x14ac:dyDescent="0.25">
      <c r="B123" s="11"/>
      <c r="C123" s="8"/>
      <c r="D123" s="8"/>
      <c r="E123" s="8"/>
      <c r="F123" s="9"/>
    </row>
    <row r="124" spans="2:6" x14ac:dyDescent="0.25">
      <c r="B124" s="11"/>
      <c r="C124" s="8"/>
      <c r="D124" s="8"/>
      <c r="E124" s="8"/>
      <c r="F124" s="9"/>
    </row>
    <row r="125" spans="2:6" x14ac:dyDescent="0.25">
      <c r="B125" s="11"/>
      <c r="C125" s="8"/>
      <c r="D125" s="8"/>
      <c r="E125" s="8"/>
      <c r="F125" s="9"/>
    </row>
    <row r="126" spans="2:6" x14ac:dyDescent="0.25">
      <c r="B126" s="11"/>
      <c r="C126" s="8"/>
      <c r="D126" s="8"/>
      <c r="E126" s="8"/>
      <c r="F126" s="9"/>
    </row>
    <row r="127" spans="2:6" x14ac:dyDescent="0.25">
      <c r="B127" s="11"/>
      <c r="C127" s="8"/>
      <c r="D127" s="8"/>
      <c r="E127" s="8"/>
      <c r="F127" s="9"/>
    </row>
  </sheetData>
  <sheetProtection sheet="1" objects="1" scenarios="1"/>
  <dataValidations count="4">
    <dataValidation type="list" allowBlank="1" showInputMessage="1" showErrorMessage="1" sqref="I27:I35" xr:uid="{05BE8B04-8F5A-4D78-B272-3F6FB5301D0C}">
      <formula1>"Spending,Reserve,Savings,Loan,Safety Net,Retirement"</formula1>
    </dataValidation>
    <dataValidation type="list" allowBlank="1" showInputMessage="1" showErrorMessage="1" sqref="E27:E127" xr:uid="{802C832D-431C-4E09-86FE-CEC81CDD866D}">
      <formula1>INDIRECT("_" &amp; SUBSTITUTE($C$2,"-","_") &amp; "\Budgets[Name]")</formula1>
    </dataValidation>
    <dataValidation type="list" showInputMessage="1" showErrorMessage="1" sqref="G20" xr:uid="{FF8EE6F9-C186-46C3-87FD-AB2788B98DC8}">
      <formula1>"Rolling,Fixed,Saving"</formula1>
    </dataValidation>
    <dataValidation type="list" showInputMessage="1" showErrorMessage="1" sqref="G6:G19" xr:uid="{7F6072F8-CF9F-4B5E-BD48-B43EA6D11BB3}">
      <formula1>"Rolling,Fixed"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2023-02</vt:lpstr>
      <vt:lpstr>2023-01</vt:lpstr>
      <vt:lpstr>2022-12</vt:lpstr>
      <vt:lpstr>2022-11</vt:lpstr>
      <vt:lpstr>2022-10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2023-02-18T16:20:21Z</dcterms:modified>
</cp:coreProperties>
</file>