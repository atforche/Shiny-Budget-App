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Shiny Budget App\res\"/>
    </mc:Choice>
  </mc:AlternateContent>
  <xr:revisionPtr revIDLastSave="0" documentId="13_ncr:1_{CD93BF5B-3FCD-42C8-9845-A407998253AF}" xr6:coauthVersionLast="47" xr6:coauthVersionMax="47" xr10:uidLastSave="{00000000-0000-0000-0000-000000000000}"/>
  <bookViews>
    <workbookView xWindow="-120" yWindow="-120" windowWidth="38640" windowHeight="21120" xr2:uid="{4A682B92-E955-49E4-9CBC-FB857D42C240}"/>
  </bookViews>
  <sheets>
    <sheet name="Template" sheetId="24" r:id="rId1"/>
    <sheet name="2023-12" sheetId="39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6" i="39" l="1"/>
  <c r="R75" i="39"/>
  <c r="R74" i="39"/>
  <c r="R73" i="39"/>
  <c r="R72" i="39"/>
  <c r="R71" i="39"/>
  <c r="R70" i="39"/>
  <c r="R69" i="39"/>
  <c r="R68" i="39"/>
  <c r="R64" i="39"/>
  <c r="Q64" i="39"/>
  <c r="P64" i="39"/>
  <c r="O64" i="39"/>
  <c r="N64" i="39"/>
  <c r="M64" i="39"/>
  <c r="L64" i="39"/>
  <c r="K64" i="39"/>
  <c r="R63" i="39"/>
  <c r="Q63" i="39"/>
  <c r="P63" i="39"/>
  <c r="O63" i="39"/>
  <c r="N63" i="39"/>
  <c r="M63" i="39"/>
  <c r="L63" i="39"/>
  <c r="K63" i="39"/>
  <c r="R62" i="39"/>
  <c r="Q62" i="39"/>
  <c r="P62" i="39"/>
  <c r="O62" i="39"/>
  <c r="N62" i="39"/>
  <c r="M62" i="39"/>
  <c r="L62" i="39"/>
  <c r="K62" i="39"/>
  <c r="R61" i="39"/>
  <c r="Q61" i="39"/>
  <c r="P61" i="39"/>
  <c r="O61" i="39"/>
  <c r="N61" i="39"/>
  <c r="M61" i="39"/>
  <c r="L61" i="39"/>
  <c r="K61" i="39"/>
  <c r="R60" i="39"/>
  <c r="Q60" i="39"/>
  <c r="P60" i="39"/>
  <c r="O60" i="39"/>
  <c r="N60" i="39"/>
  <c r="M60" i="39"/>
  <c r="L60" i="39"/>
  <c r="K60" i="39"/>
  <c r="Q59" i="39"/>
  <c r="P59" i="39"/>
  <c r="O59" i="39"/>
  <c r="L59" i="39"/>
  <c r="K59" i="39"/>
  <c r="Q58" i="39"/>
  <c r="P58" i="39"/>
  <c r="O58" i="39"/>
  <c r="L58" i="39"/>
  <c r="K58" i="39"/>
  <c r="M58" i="39" s="1"/>
  <c r="Q57" i="39"/>
  <c r="P57" i="39"/>
  <c r="O57" i="39"/>
  <c r="L57" i="39"/>
  <c r="K57" i="39"/>
  <c r="N57" i="39" s="1"/>
  <c r="Q56" i="39"/>
  <c r="P56" i="39"/>
  <c r="O56" i="39"/>
  <c r="L56" i="39"/>
  <c r="K56" i="39"/>
  <c r="L22" i="39"/>
  <c r="L21" i="39"/>
  <c r="L20" i="39"/>
  <c r="L19" i="39"/>
  <c r="L14" i="39"/>
  <c r="L12" i="39"/>
  <c r="L11" i="39"/>
  <c r="L10" i="39"/>
  <c r="L9" i="39"/>
  <c r="L7" i="39"/>
  <c r="C2" i="39" a="1"/>
  <c r="C2" i="39" s="1"/>
  <c r="Q56" i="24"/>
  <c r="Q57" i="24"/>
  <c r="Q58" i="24"/>
  <c r="Q59" i="24"/>
  <c r="Q60" i="24"/>
  <c r="Q61" i="24"/>
  <c r="Q62" i="24"/>
  <c r="Q63" i="24"/>
  <c r="Q64" i="24"/>
  <c r="K56" i="24"/>
  <c r="L56" i="24"/>
  <c r="M56" i="24"/>
  <c r="N56" i="24"/>
  <c r="O56" i="24"/>
  <c r="P56" i="24"/>
  <c r="R56" i="24"/>
  <c r="K57" i="24"/>
  <c r="L57" i="24"/>
  <c r="M57" i="24"/>
  <c r="N57" i="24"/>
  <c r="O57" i="24"/>
  <c r="P57" i="24"/>
  <c r="R57" i="24"/>
  <c r="K58" i="24"/>
  <c r="L58" i="24"/>
  <c r="M58" i="24"/>
  <c r="N58" i="24"/>
  <c r="O58" i="24"/>
  <c r="P58" i="24"/>
  <c r="R58" i="24"/>
  <c r="K59" i="24"/>
  <c r="L59" i="24"/>
  <c r="M59" i="24"/>
  <c r="N59" i="24"/>
  <c r="O59" i="24"/>
  <c r="P59" i="24"/>
  <c r="R59" i="24"/>
  <c r="K60" i="24"/>
  <c r="L60" i="24"/>
  <c r="M60" i="24"/>
  <c r="N60" i="24"/>
  <c r="O60" i="24"/>
  <c r="P60" i="24"/>
  <c r="R60" i="24"/>
  <c r="K61" i="24"/>
  <c r="L61" i="24"/>
  <c r="M61" i="24"/>
  <c r="N61" i="24"/>
  <c r="O61" i="24"/>
  <c r="P61" i="24"/>
  <c r="R61" i="24"/>
  <c r="K62" i="24"/>
  <c r="L62" i="24"/>
  <c r="M62" i="24"/>
  <c r="N62" i="24"/>
  <c r="O62" i="24"/>
  <c r="P62" i="24"/>
  <c r="R62" i="24"/>
  <c r="K63" i="24"/>
  <c r="L63" i="24"/>
  <c r="M63" i="24"/>
  <c r="N63" i="24"/>
  <c r="O63" i="24"/>
  <c r="P63" i="24"/>
  <c r="R63" i="24"/>
  <c r="K64" i="24"/>
  <c r="L64" i="24"/>
  <c r="M64" i="24"/>
  <c r="N64" i="24"/>
  <c r="O64" i="24"/>
  <c r="P64" i="24"/>
  <c r="R64" i="24"/>
  <c r="R68" i="24"/>
  <c r="R69" i="24"/>
  <c r="R70" i="24"/>
  <c r="R71" i="24"/>
  <c r="R72" i="24"/>
  <c r="R73" i="24"/>
  <c r="R74" i="24"/>
  <c r="R75" i="24"/>
  <c r="R76" i="24"/>
  <c r="C13" i="39"/>
  <c r="N58" i="39" l="1"/>
  <c r="R58" i="39" s="1"/>
  <c r="M59" i="39"/>
  <c r="N59" i="39"/>
  <c r="M56" i="39"/>
  <c r="N56" i="39"/>
  <c r="M57" i="39"/>
  <c r="R57" i="39" s="1"/>
  <c r="E2" i="39"/>
  <c r="O9" i="39"/>
  <c r="O21" i="39"/>
  <c r="D9" i="39"/>
  <c r="K26" i="39"/>
  <c r="N19" i="39"/>
  <c r="K27" i="39"/>
  <c r="O10" i="39"/>
  <c r="N22" i="39"/>
  <c r="N10" i="39"/>
  <c r="C14" i="39"/>
  <c r="O15" i="39"/>
  <c r="O16" i="39"/>
  <c r="C9" i="39"/>
  <c r="O14" i="39"/>
  <c r="D6" i="39"/>
  <c r="N21" i="39"/>
  <c r="N15" i="39"/>
  <c r="N9" i="39"/>
  <c r="D7" i="39"/>
  <c r="N17" i="39"/>
  <c r="N8" i="39"/>
  <c r="O20" i="39"/>
  <c r="D5" i="39"/>
  <c r="O11" i="39"/>
  <c r="O17" i="39"/>
  <c r="N18" i="39"/>
  <c r="N6" i="39"/>
  <c r="L28" i="39"/>
  <c r="O12" i="39"/>
  <c r="N14" i="39"/>
  <c r="N7" i="39"/>
  <c r="O6" i="39"/>
  <c r="C7" i="39"/>
  <c r="O8" i="39"/>
  <c r="O13" i="39"/>
  <c r="C6" i="39"/>
  <c r="C5" i="39"/>
  <c r="D10" i="39"/>
  <c r="O19" i="39"/>
  <c r="L26" i="39"/>
  <c r="D8" i="39"/>
  <c r="C8" i="39"/>
  <c r="N20" i="39"/>
  <c r="L27" i="39"/>
  <c r="N16" i="39"/>
  <c r="K28" i="39"/>
  <c r="O7" i="39"/>
  <c r="O22" i="39"/>
  <c r="N13" i="39"/>
  <c r="N12" i="39"/>
  <c r="O18" i="39"/>
  <c r="N11" i="39"/>
  <c r="R56" i="39" l="1"/>
  <c r="R59" i="39"/>
  <c r="M27" i="39"/>
  <c r="M26" i="39"/>
  <c r="M28" i="39"/>
  <c r="P19" i="39"/>
  <c r="P21" i="39"/>
  <c r="P20" i="39"/>
  <c r="E8" i="39"/>
  <c r="P7" i="39"/>
  <c r="E5" i="39"/>
  <c r="C15" i="39"/>
  <c r="P14" i="39"/>
  <c r="P10" i="39"/>
  <c r="P9" i="39"/>
  <c r="E6" i="39"/>
  <c r="P12" i="39"/>
  <c r="P11" i="39"/>
  <c r="E7" i="39"/>
  <c r="E9" i="39"/>
  <c r="P22" i="39"/>
  <c r="C10" i="39"/>
  <c r="D14" i="39" a="1"/>
  <c r="D13" i="39"/>
  <c r="C16" i="39" l="1"/>
  <c r="E10" i="39"/>
  <c r="D14" i="39"/>
  <c r="E13" i="39"/>
  <c r="E14" i="39"/>
  <c r="L22" i="24" l="1"/>
  <c r="L21" i="24"/>
  <c r="L20" i="24"/>
  <c r="L19" i="24"/>
  <c r="L14" i="24"/>
  <c r="L12" i="24"/>
  <c r="L11" i="24"/>
  <c r="L10" i="24"/>
  <c r="L9" i="24"/>
  <c r="L7" i="24"/>
  <c r="C2" i="24" a="1"/>
  <c r="C2" i="24" s="1"/>
  <c r="D14" i="24" a="1"/>
  <c r="C14" i="24"/>
  <c r="D13" i="24"/>
  <c r="D14" i="24" l="1"/>
  <c r="E2" i="24"/>
  <c r="C13" i="24"/>
  <c r="O17" i="24"/>
  <c r="L26" i="24"/>
  <c r="N13" i="24"/>
  <c r="N22" i="24"/>
  <c r="K27" i="24"/>
  <c r="O14" i="24"/>
  <c r="C8" i="24"/>
  <c r="O18" i="24"/>
  <c r="O21" i="24"/>
  <c r="O16" i="24"/>
  <c r="O8" i="24"/>
  <c r="O19" i="24"/>
  <c r="O10" i="24"/>
  <c r="O13" i="24"/>
  <c r="L28" i="24"/>
  <c r="D10" i="24"/>
  <c r="K26" i="24"/>
  <c r="O20" i="24"/>
  <c r="N9" i="24"/>
  <c r="C7" i="24"/>
  <c r="N7" i="24"/>
  <c r="N21" i="24"/>
  <c r="N15" i="24"/>
  <c r="O6" i="24"/>
  <c r="D9" i="24"/>
  <c r="D5" i="24"/>
  <c r="N6" i="24"/>
  <c r="L27" i="24"/>
  <c r="N19" i="24"/>
  <c r="D6" i="24"/>
  <c r="O11" i="24"/>
  <c r="D7" i="24"/>
  <c r="N20" i="24"/>
  <c r="D8" i="24"/>
  <c r="N8" i="24"/>
  <c r="O7" i="24"/>
  <c r="O22" i="24"/>
  <c r="N18" i="24"/>
  <c r="K28" i="24"/>
  <c r="C9" i="24"/>
  <c r="C6" i="24"/>
  <c r="O9" i="24"/>
  <c r="C10" i="24"/>
  <c r="N16" i="24"/>
  <c r="N17" i="24"/>
  <c r="N10" i="24"/>
  <c r="O15" i="24"/>
  <c r="N14" i="24"/>
  <c r="O12" i="24"/>
  <c r="C5" i="24"/>
  <c r="N12" i="24"/>
  <c r="N11" i="24"/>
  <c r="M28" i="24" l="1"/>
  <c r="M27" i="24"/>
  <c r="M26" i="24"/>
  <c r="P14" i="24"/>
  <c r="P10" i="24"/>
  <c r="P12" i="24"/>
  <c r="P9" i="24"/>
  <c r="P21" i="24"/>
  <c r="P20" i="24"/>
  <c r="P11" i="24"/>
  <c r="P22" i="24"/>
  <c r="P19" i="24"/>
  <c r="P7" i="24"/>
  <c r="E14" i="24"/>
  <c r="C15" i="24"/>
  <c r="C16" i="24"/>
  <c r="E10" i="24"/>
  <c r="E6" i="24"/>
  <c r="E7" i="24"/>
  <c r="E9" i="24"/>
  <c r="E8" i="24"/>
  <c r="E13" i="24"/>
  <c r="E5" i="24"/>
  <c r="L6" i="24"/>
  <c r="L16" i="24"/>
  <c r="L18" i="24"/>
  <c r="L13" i="24"/>
  <c r="L17" i="24"/>
  <c r="L15" i="24"/>
  <c r="L8" i="24"/>
  <c r="P17" i="24" l="1"/>
  <c r="P18" i="24"/>
  <c r="P8" i="24"/>
  <c r="P6" i="24"/>
  <c r="P15" i="24"/>
  <c r="P13" i="24"/>
  <c r="P16" i="24"/>
  <c r="L18" i="39"/>
  <c r="P18" i="39" l="1"/>
  <c r="L17" i="39"/>
  <c r="P17" i="39" l="1"/>
  <c r="L8" i="39"/>
  <c r="L13" i="39"/>
  <c r="L6" i="39"/>
  <c r="L15" i="39"/>
  <c r="L16" i="39"/>
  <c r="P15" i="39" l="1"/>
  <c r="P13" i="39"/>
  <c r="P6" i="39"/>
  <c r="P8" i="39"/>
  <c r="P16" i="3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<sst xmlns="http://schemas.openxmlformats.org/spreadsheetml/2006/main" count="162" uniqueCount="53">
  <si>
    <t>Budgets</t>
  </si>
  <si>
    <t>Type</t>
  </si>
  <si>
    <t>Amount</t>
  </si>
  <si>
    <t>Rollover From Last Month</t>
  </si>
  <si>
    <t>Remaining Budget</t>
  </si>
  <si>
    <t>Name</t>
  </si>
  <si>
    <t>Income</t>
  </si>
  <si>
    <t>Override Rollover Amount</t>
  </si>
  <si>
    <t>Transactions</t>
  </si>
  <si>
    <t>Date</t>
  </si>
  <si>
    <t>Location</t>
  </si>
  <si>
    <t>Description</t>
  </si>
  <si>
    <t>Category</t>
  </si>
  <si>
    <t>Current Month:</t>
  </si>
  <si>
    <t>Previous Month:</t>
  </si>
  <si>
    <t>First Monday</t>
  </si>
  <si>
    <t>Second Monday</t>
  </si>
  <si>
    <t>Third Monday</t>
  </si>
  <si>
    <t>Fourth Monday</t>
  </si>
  <si>
    <t>Fifth Monday</t>
  </si>
  <si>
    <t>Account Balances</t>
  </si>
  <si>
    <t>Source</t>
  </si>
  <si>
    <t>Total Debits</t>
  </si>
  <si>
    <t>Total Credits</t>
  </si>
  <si>
    <t>Retirement Contributions</t>
  </si>
  <si>
    <t>Other Payroll Deductions</t>
  </si>
  <si>
    <t>Net Income</t>
  </si>
  <si>
    <t>Healthcare Deductions</t>
  </si>
  <si>
    <t>Taxes</t>
  </si>
  <si>
    <t>Expected Income</t>
  </si>
  <si>
    <t>Actual Income</t>
  </si>
  <si>
    <t>Gross Income:</t>
  </si>
  <si>
    <t>Retirement Contributions:</t>
  </si>
  <si>
    <t>Taxes:</t>
  </si>
  <si>
    <t>Net Income:</t>
  </si>
  <si>
    <t>Expected</t>
  </si>
  <si>
    <t>Actual</t>
  </si>
  <si>
    <t>Difference</t>
  </si>
  <si>
    <t>Andy:</t>
  </si>
  <si>
    <t>Sara:</t>
  </si>
  <si>
    <t>Expected Rates</t>
  </si>
  <si>
    <t>Expenses:</t>
  </si>
  <si>
    <t>Savings:</t>
  </si>
  <si>
    <t>Budgeted</t>
  </si>
  <si>
    <t>Other Payroll Deductions:</t>
  </si>
  <si>
    <t>Healthcare Deductions:</t>
  </si>
  <si>
    <t>Remaining Unbudgeted Amount:</t>
  </si>
  <si>
    <t>Total Amount:</t>
  </si>
  <si>
    <t>Salary Income</t>
  </si>
  <si>
    <t>Additional Taxable Income</t>
  </si>
  <si>
    <t>Pension Contributions</t>
  </si>
  <si>
    <t>Savings Budgets</t>
  </si>
  <si>
    <t>Tax Withholding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</si>
</sst>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;[Red]&quot;$&quot;#,##0.00"/>
    <numFmt numFmtId="165" formatCode="&quot;$&quot;#,##0.00"/>
    <numFmt numFmtId="166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9ED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0" fillId="2" borderId="1" xfId="0" applyFill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14" fontId="0" fillId="2" borderId="1" xfId="0" applyNumberFormat="1" applyFill="1" applyBorder="1" applyProtection="1">
      <protection locked="0"/>
    </xf>
    <xf numFmtId="0" fontId="0" fillId="2" borderId="2" xfId="0" applyFill="1" applyBorder="1" applyProtection="1">
      <protection locked="0"/>
    </xf>
    <xf numFmtId="1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5" fontId="0" fillId="2" borderId="1" xfId="0" applyNumberFormat="1" applyFill="1" applyBorder="1" applyProtection="1">
      <protection locked="0"/>
    </xf>
    <xf numFmtId="165" fontId="0" fillId="2" borderId="1" xfId="0" applyNumberFormat="1" applyFill="1" applyBorder="1"/>
    <xf numFmtId="165" fontId="0" fillId="2" borderId="2" xfId="0" applyNumberFormat="1" applyFill="1" applyBorder="1" applyProtection="1">
      <protection locked="0"/>
    </xf>
    <xf numFmtId="165" fontId="0" fillId="2" borderId="2" xfId="0" applyNumberFormat="1" applyFill="1" applyBorder="1"/>
    <xf numFmtId="165" fontId="0" fillId="0" borderId="0" xfId="0" applyNumberFormat="1"/>
    <xf numFmtId="164" fontId="0" fillId="0" borderId="1" xfId="0" applyNumberFormat="1" applyBorder="1"/>
    <xf numFmtId="165" fontId="0" fillId="0" borderId="1" xfId="0" applyNumberFormat="1" applyBorder="1"/>
    <xf numFmtId="164" fontId="0" fillId="0" borderId="2" xfId="0" applyNumberFormat="1" applyBorder="1"/>
    <xf numFmtId="164" fontId="0" fillId="2" borderId="1" xfId="0" applyNumberFormat="1" applyFill="1" applyBorder="1" applyAlignment="1">
      <alignment horizontal="right" readingOrder="2"/>
    </xf>
    <xf numFmtId="164" fontId="0" fillId="2" borderId="2" xfId="0" applyNumberFormat="1" applyFill="1" applyBorder="1" applyAlignment="1">
      <alignment horizontal="right" readingOrder="2"/>
    </xf>
    <xf numFmtId="165" fontId="0" fillId="0" borderId="2" xfId="0" applyNumberFormat="1" applyBorder="1"/>
    <xf numFmtId="9" fontId="0" fillId="2" borderId="1" xfId="0" applyNumberFormat="1" applyFill="1" applyBorder="1" applyProtection="1">
      <protection locked="0"/>
    </xf>
    <xf numFmtId="166" fontId="0" fillId="2" borderId="1" xfId="0" applyNumberFormat="1" applyFill="1" applyBorder="1" applyProtection="1">
      <protection locked="0"/>
    </xf>
  </cellXfs>
  <cellStyles count="1">
    <cellStyle name="Normal" xfId="0" builtinId="0"/>
  </cellStyles>
  <dxfs count="154"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B9EDFF"/>
      <color rgb="FFFF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17C888D4-D2A0-42A3-AF7A-69DDB6132627}" name="2023-08 (2)\Budgets" displayName="_2023_08__2_\Budgets_" ref="I5:P22" totalsRowShown="0" headerRowDxfId="138" dataDxfId="137">
  <autoFilter ref="I5:P22" xr:uid="{6993C61E-5182-4571-996F-3C4DB6F2B5F2}"/>
  <tableColumns count="8">
    <tableColumn id="1" xr3:uid="{83BDF8A9-16D5-4FAD-8883-B8AB4BF0CBF9}" name="Name" dataDxfId="136"/>
    <tableColumn id="2" xr3:uid="{DF4C47DB-0C38-4140-9A4F-CBFFCE84A85D}" name="Type" dataDxfId="135"/>
    <tableColumn id="3" xr3:uid="{D266A9E0-9F8B-47FD-BA0B-3E60FE29E3D1}" name="Amount" dataDxfId="134"/>
    <tableColumn id="4" xr3:uid="{02A995E3-B20A-4F4A-A6F7-7A14AF77ED1F}" name="Rollover From Last Month" dataDxfId="133">
      <calculatedColumnFormula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calculatedColumnFormula>
    </tableColumn>
    <tableColumn id="6" xr3:uid="{ADF04C24-7619-420B-BB47-052C5B44BEF4}" name="Override Rollover Amount" dataDxfId="132"/>
    <tableColumn id="7" xr3:uid="{0BB6F0D2-7D45-4C3E-9731-68F5C9C5C7B5}" name="Total Debits" dataDxfId="131">
      <calculatedColumnFormula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calculatedColumnFormula>
    </tableColumn>
    <tableColumn id="9" xr3:uid="{A939EBD1-196A-46D7-B1EA-B0874692155B}" name="Total Credits" dataDxfId="130">
      <calculatedColumnFormula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calculatedColumnFormula>
    </tableColumn>
    <tableColumn id="5" xr3:uid="{51181065-A55C-4635-93FD-180ED457A61F}" name="Remaining Budget" dataDxfId="129">
      <calculatedColumnFormula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D4247360-4C75-4EEA-A4C2-8C34C5F915EF}" name="2023-08 (2)\Transactions" displayName="_2023_08__2_\Transactions_" ref="B19:G120" totalsRowShown="0" headerRowDxfId="128" dataDxfId="127">
  <autoFilter ref="B19:G120" xr:uid="{EC46B62F-7A14-4839-B25C-76E755827075}"/>
  <tableColumns count="6">
    <tableColumn id="1" xr3:uid="{7477D824-16EA-4400-8A4A-A26D94B0BDB2}" name="Date" dataDxfId="126"/>
    <tableColumn id="2" xr3:uid="{4804B0F6-75F9-4C71-82B4-253110B76157}" name="Location" dataDxfId="125"/>
    <tableColumn id="3" xr3:uid="{5ECA2053-BFE4-4C1D-B7D3-3F5BE41BA416}" name="Description" dataDxfId="124"/>
    <tableColumn id="4" xr3:uid="{1D632AF3-D9F2-4D16-BAD9-56A43FE7CEDA}" name="Category" dataDxfId="123"/>
    <tableColumn id="6" xr3:uid="{7496558E-9DF8-4A02-8DAB-BF4F75986351}" name="Type" dataDxfId="122"/>
    <tableColumn id="5" xr3:uid="{C38D712B-2662-4B3B-A13E-3A4F0BC5BFC0}" name="Amount" dataDxfId="12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273FBC6-CF07-4A38-A070-C0C9DFF56067}" name="2023-08 (2)\Balances" displayName="_2023_08__2_\Balances_" ref="I31:O47" totalsRowShown="0" headerRowDxfId="120" dataDxfId="119" tableBorderDxfId="118">
  <autoFilter ref="I31:O47" xr:uid="{9874A6B0-EF6A-4DFE-B7B5-17DAD41163E3}"/>
  <tableColumns count="7">
    <tableColumn id="1" xr3:uid="{9E5C9582-5D2F-4C0A-ADB1-B75EFE305F06}" name="Name" dataDxfId="117"/>
    <tableColumn id="2" xr3:uid="{80AD80A2-4E70-45A8-91C7-AFB3CA3A6FC7}" name="Category" dataDxfId="116"/>
    <tableColumn id="3" xr3:uid="{AD75D4A6-C383-4C52-858E-D0105EB0DB85}" name="First Monday" dataDxfId="115"/>
    <tableColumn id="4" xr3:uid="{DC809384-94C0-4AD0-975B-7E980BFF2F3E}" name="Second Monday" dataDxfId="114"/>
    <tableColumn id="5" xr3:uid="{0BEFD098-ADC6-4E9E-84D7-31A05AA1394B}" name="Third Monday" dataDxfId="113"/>
    <tableColumn id="6" xr3:uid="{C9616504-7670-4B53-B90A-4D4E4EF3F460}" name="Fourth Monday" dataDxfId="112"/>
    <tableColumn id="7" xr3:uid="{91176B76-109E-468C-8E43-8389F167B35D}" name="Fifth Monday" dataDxfId="11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CF0E81-D126-42C3-82B7-4123F11C72DA}" name="_2023_08__2_\Saving_Budgets" displayName="_2023_08__2_\Saving_Budgets" ref="I25:M28" totalsRowShown="0" headerRowDxfId="110" dataDxfId="109">
  <autoFilter ref="I25:M28" xr:uid="{05CF0E81-D126-42C3-82B7-4123F11C72DA}"/>
  <tableColumns count="5">
    <tableColumn id="1" xr3:uid="{B0E09A11-5C6D-40C8-99FA-1EEB134058D6}" name="Name" dataDxfId="108"/>
    <tableColumn id="2" xr3:uid="{4575C397-AA83-4C3C-9D4E-04CC764BC473}" name="Amount" dataDxfId="107"/>
    <tableColumn id="3" xr3:uid="{416C3C16-D39D-4944-BA36-8F1B3F35DCBF}" name="Total Debits" dataDxfId="106">
      <calculatedColumnFormula>SUMIFS(INDIRECT("_" &amp; SUBSTITUTE($C$2,"-","_") &amp; "\Transactions[Amount]"), INDIRECT("_" &amp; SUBSTITUTE($C$2,"-","_") &amp; "\Transactions[Category]"),_2023_08__2_\Saving_Budgets[[#This Row],[Name]], INDIRECT("_" &amp; SUBSTITUTE($C$2,"-","_") &amp; "\Transactions[Type]"),"Debit")</calculatedColumnFormula>
    </tableColumn>
    <tableColumn id="4" xr3:uid="{06FCBFAE-1700-49C5-A291-D0E9E6210769}" name="Total Credits" dataDxfId="105">
      <calculatedColumnFormula>SUMIFS(INDIRECT("_" &amp; SUBSTITUTE($C$2,"-","_") &amp; "\Transactions[Amount]"), INDIRECT("_" &amp; SUBSTITUTE($C$2,"-","_") &amp; "\Transactions[Category]"),_2023_08__2_\Saving_Budgets[[#This Row],[Name]], INDIRECT("_" &amp; SUBSTITUTE($C$2,"-","_") &amp; "\Transactions[Type]"),"Credit")</calculatedColumnFormula>
    </tableColumn>
    <tableColumn id="5" xr3:uid="{E8CAE944-8C2D-4A28-9985-1495DD06716F}" name="Remaining Budget" dataDxfId="104">
      <calculatedColumnFormula>_2023_08__2_\Saving_Budgets[[#This Row],[Amount]]-_2023_08__2_\Saving_Budgets[[#This Row],[Total Debits]]+_2023_08__2_\Saving_Budgets[[#This Row],[Total Credits]]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BD58F66-E887-4D29-9DAF-C8F7A14239A6}" name="2023-08 (2)\Actual_Income" displayName="_2023_08__2_\Actual_Income_" ref="I67:R76" totalsRowShown="0" headerRowDxfId="103" dataDxfId="102" tableBorderDxfId="101">
  <autoFilter ref="I67:R76" xr:uid="{E5E28DBB-8C36-4879-9321-9B9564D6F520}"/>
  <tableColumns count="10">
    <tableColumn id="1" xr3:uid="{0C0B9DAD-7953-441A-84BF-6A323C85C9AC}" name="Date" dataDxfId="100"/>
    <tableColumn id="2" xr3:uid="{63156741-6A32-4F93-B248-543E00DE0E35}" name="Source" dataDxfId="99"/>
    <tableColumn id="3" xr3:uid="{66130143-3A36-4DD3-911B-6EF33047C78D}" name="Salary Income" dataDxfId="98"/>
    <tableColumn id="9" xr3:uid="{778EDBCC-492F-4C5A-8ED1-4A0DB8B0D392}" name="Additional Taxable Income" dataDxfId="97"/>
    <tableColumn id="4" xr3:uid="{56CBED11-2DCE-449A-B1B5-0F87262530C2}" name="Retirement Contributions" dataDxfId="96"/>
    <tableColumn id="10" xr3:uid="{B406D7A7-4CF5-401B-8D9F-EA2F16341E57}" name="Pension Contributions" dataDxfId="95"/>
    <tableColumn id="5" xr3:uid="{3E3E4A85-604D-4BF0-8E1A-262CB28E4641}" name="Healthcare Deductions" dataDxfId="94"/>
    <tableColumn id="6" xr3:uid="{AD8EF7F8-E3CD-48C3-BD5D-27B5260F6A89}" name="Other Payroll Deductions" dataDxfId="93"/>
    <tableColumn id="7" xr3:uid="{7670475F-B64A-4B39-849D-FC97909C80BE}" name="Taxes" dataDxfId="92"/>
    <tableColumn id="8" xr3:uid="{686A1350-5F75-406D-80B0-9C2F3E1D733B}" name="Net Income" dataDxfId="91">
      <calculatedColumnFormula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9AF0EAE-135D-4830-9332-C3A0BF529D5F}" name="2023-08 (2)\Expected_Income" displayName="_2023_08__2_\Expected_Income_" ref="I55:R64" totalsRowShown="0" headerRowDxfId="90" dataDxfId="89" tableBorderDxfId="88">
  <autoFilter ref="I55:R64" xr:uid="{CBEC8C2F-5549-4B3F-927C-B3465789AE2F}"/>
  <tableColumns count="10">
    <tableColumn id="1" xr3:uid="{FC3C485A-E65E-4BE0-A361-D221B5B9A085}" name="Date" dataDxfId="87"/>
    <tableColumn id="2" xr3:uid="{D44C6079-9B01-41CF-9287-6CB7E52B791D}" name="Source" dataDxfId="86"/>
    <tableColumn id="3" xr3:uid="{E5CB86C1-FAB1-49FB-92D5-353C34491185}" name="Salary Income" dataDxfId="85">
      <calculatedColumnFormula>IF(_2023_08__2_\Expected_Income_[[#This Row],[Source]]="Advantage",$J$51,IF(_2023_08__2_\Expected_Income_[[#This Row],[Source]]="Saline", $J$52, " "))</calculatedColumnFormula>
    </tableColumn>
    <tableColumn id="9" xr3:uid="{48D7B7BF-7675-471D-ACE9-B927A134E6B6}" name="Additional Taxable Income" dataDxfId="84">
      <calculatedColumnFormula>IF(_2023_08__2_\Expected_Income_[[#This Row],[Source]]="Advantage",$K$51,IF(_2023_08__2_\Expected_Income_[[#This Row],[Source]]="Saline", $K$52, " "))</calculatedColumnFormula>
    </tableColumn>
    <tableColumn id="4" xr3:uid="{D138DC48-B257-4C61-BF6D-F6680E974E01}" name="Retirement Contributions" dataDxfId="83">
      <calculatedColumnFormula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calculatedColumnFormula>
    </tableColumn>
    <tableColumn id="10" xr3:uid="{9815ADE7-526B-410D-9BF9-03834279FF87}" name="Pension Contributions" dataDxfId="82">
      <calculatedColumnFormula>IF(_2023_08__2_\Expected_Income_[[#This Row],[Source]]="Advantage",_2023_08__2_\Expected_Income_[[#This Row],[Salary Income]]*$M$51,IF(_2023_08__2_\Expected_Income_[[#This Row],[Source]]="Saline", _2023_08__2_\Expected_Income_[[#This Row],[Salary Income]]*$M$52, " "))</calculatedColumnFormula>
    </tableColumn>
    <tableColumn id="5" xr3:uid="{80DCE307-B822-4242-85B2-B071132D0B68}" name="Healthcare Deductions" dataDxfId="81">
      <calculatedColumnFormula>IF(_2023_08__2_\Expected_Income_[[#This Row],[Source]]="Advantage",$N$51,IF(_2023_08__2_\Expected_Income_[[#This Row],[Source]]="Saline", $N$52, " "))</calculatedColumnFormula>
    </tableColumn>
    <tableColumn id="6" xr3:uid="{A786589B-65B8-4B4B-9E4F-DE94C70BCF44}" name="Other Payroll Deductions" dataDxfId="80">
      <calculatedColumnFormula>IF(_2023_08__2_\Expected_Income_[[#This Row],[Source]]="Advantage",$P$51,IF(_2023_08__2_\Expected_Income_[[#This Row],[Source]]="Saline", $P$52, " "))</calculatedColumnFormula>
    </tableColumn>
    <tableColumn id="7" xr3:uid="{26E76CDC-3355-4D93-B906-759D5C989E00}" name="Taxes" dataDxfId="79">
      <calculatedColumnFormula>IF(_2023_08__2_\Expected_Income_[[#This Row],[Source]]="Advantage",$O$51,IF(_2023_08__2_\Expected_Income_[[#This Row],[Source]]="Saline", $O$52, " "))</calculatedColumnFormula>
    </tableColumn>
    <tableColumn id="8" xr3:uid="{C7CDC12B-923A-445D-B779-812E489C9287}" name="Net Income" dataDxfId="78">
      <calculatedColumnFormula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350FC46-0951-474F-B208-BFC840486B97}" name="2023-12\Budgets" displayName="_2023_12\Budgets" ref="I5:P22" totalsRowShown="0" headerRowDxfId="60" dataDxfId="59">
  <autoFilter ref="I5:P22" xr:uid="{6993C61E-5182-4571-996F-3C4DB6F2B5F2}"/>
  <tableColumns count="8">
    <tableColumn id="1" xr3:uid="{FF8B63D9-3743-4DBA-AE2A-6116FB124ACB}" name="Name" dataDxfId="58"/>
    <tableColumn id="2" xr3:uid="{E2A62960-546F-4353-B462-1F8DE3B29C1A}" name="Type" dataDxfId="57"/>
    <tableColumn id="3" xr3:uid="{258E5B98-C946-441A-BA22-1DDAB93B221B}" name="Amount" dataDxfId="56"/>
    <tableColumn id="4" xr3:uid="{7A4980C1-66FD-49C7-BF94-20E5D3B5D57B}" name="Rollover From Last Month" dataDxfId="55">
      <calculatedColumnFormula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calculatedColumnFormula>
    </tableColumn>
    <tableColumn id="6" xr3:uid="{1494A19A-96B2-4068-AC43-93BC69DFCFDE}" name="Override Rollover Amount" dataDxfId="54"/>
    <tableColumn id="7" xr3:uid="{9B6F626C-5AE3-4E23-A968-D147CAA49829}" name="Total Debits" dataDxfId="53">
      <calculatedColumnFormula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calculatedColumnFormula>
    </tableColumn>
    <tableColumn id="9" xr3:uid="{7C8C7033-62AA-460D-98C6-B6B17CAC7B9E}" name="Total Credits" dataDxfId="52">
      <calculatedColumnFormula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calculatedColumnFormula>
    </tableColumn>
    <tableColumn id="5" xr3:uid="{6A3F40C0-FE06-4FD9-B452-CEF3730081B7}" name="Remaining Budget" dataDxfId="51">
      <calculatedColumnFormula>_2023_12\Budgets[[#This Row],[Amount]]+IF(NOT(_2023_12\Budgets[[#This Row],[Rollover From Last Month]]=""),_2023_12\Budgets[[#This Row],[Rollover From Last Month]],0)-_2023_12\Budgets[[#This Row],[Total Debits]]+_2023_12\Budgets[[#This Row],[Total Credits]]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055FBF0-F3F6-4747-9ED5-FB076B2C9ED4}" name="2023-12\Transactions" displayName="_2023_12\Transactions" ref="B19:G120" totalsRowShown="0" headerRowDxfId="50" dataDxfId="49">
  <autoFilter ref="B19:G120" xr:uid="{EC46B62F-7A14-4839-B25C-76E755827075}"/>
  <tableColumns count="6">
    <tableColumn id="1" xr3:uid="{8F627C6F-5165-4CDC-9A29-4359D064F8C7}" name="Date" dataDxfId="48"/>
    <tableColumn id="2" xr3:uid="{4AF134C7-193E-4905-ACBA-40BA68780167}" name="Location" dataDxfId="47"/>
    <tableColumn id="3" xr3:uid="{35A6FE99-A6C3-4E54-9CD3-D159E7CDFE65}" name="Description" dataDxfId="46"/>
    <tableColumn id="4" xr3:uid="{48350253-0F4F-4AB9-93A9-87B46D651ECC}" name="Category" dataDxfId="45"/>
    <tableColumn id="6" xr3:uid="{2CBEC10C-25A5-476A-B94A-B259EC693E4A}" name="Type" dataDxfId="44"/>
    <tableColumn id="5" xr3:uid="{F2D69A8A-34C3-44B0-AD61-B401E983D351}" name="Amount" dataDxfId="4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D6E037F-0AC6-41FB-A406-E4963091728C}" name="2023-12\Balances" displayName="_2023_12\Balances" ref="I31:O47" totalsRowShown="0" headerRowDxfId="42" dataDxfId="41" tableBorderDxfId="40">
  <autoFilter ref="I31:O47" xr:uid="{9874A6B0-EF6A-4DFE-B7B5-17DAD41163E3}"/>
  <tableColumns count="7">
    <tableColumn id="1" xr3:uid="{DDF48A0C-6915-4564-908E-A1B1D6018953}" name="Name" dataDxfId="39"/>
    <tableColumn id="2" xr3:uid="{BA97ED8E-6761-461C-ACCE-7AE6D3772EA0}" name="Category" dataDxfId="38"/>
    <tableColumn id="3" xr3:uid="{C6195980-9BC1-4FEF-85E7-A70395B28A96}" name="First Monday" dataDxfId="37"/>
    <tableColumn id="4" xr3:uid="{29662D71-E272-4BEF-B8A2-A85B2ADD9B81}" name="Second Monday" dataDxfId="36"/>
    <tableColumn id="5" xr3:uid="{D20B4CD9-8D10-4E26-BB2B-2131020648EC}" name="Third Monday" dataDxfId="35"/>
    <tableColumn id="6" xr3:uid="{1A6D08F0-898A-472C-B57E-5193E7D82003}" name="Fourth Monday" dataDxfId="34"/>
    <tableColumn id="7" xr3:uid="{B0904ECA-8DBC-4DD8-8D63-2B746AD84C36}" name="Fifth Monday" dataDxfId="3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A605665-45C1-4CB1-A194-8020759EC11B}" name="2023-12\Saving_Budgets" displayName="_2023_12\Saving_Budgets" ref="I25:M28" totalsRowShown="0" headerRowDxfId="32" dataDxfId="31">
  <autoFilter ref="I25:M28" xr:uid="{05CF0E81-D126-42C3-82B7-4123F11C72DA}"/>
  <tableColumns count="5">
    <tableColumn id="1" xr3:uid="{8AC201F7-E5E8-48AD-B251-5F188E87096A}" name="Name" dataDxfId="30"/>
    <tableColumn id="2" xr3:uid="{81FC7687-2B30-46FE-80E4-C03FF827E24D}" name="Amount" dataDxfId="29"/>
    <tableColumn id="3" xr3:uid="{9B8846C8-44F3-4EF3-A371-9581B5337BE6}" name="Total Debits" dataDxfId="28">
      <calculatedColumnFormula>SUMIFS(INDIRECT("_" &amp; SUBSTITUTE($C$2,"-","_") &amp; "\Transactions[Amount]"), INDIRECT("_" &amp; SUBSTITUTE($C$2,"-","_") &amp; "\Transactions[Category]"),_2023_12\Saving_Budgets[[#This Row],[Name]], INDIRECT("_" &amp; SUBSTITUTE($C$2,"-","_") &amp; "\Transactions[Type]"),"Debit")</calculatedColumnFormula>
    </tableColumn>
    <tableColumn id="4" xr3:uid="{23F60383-1D33-4610-B185-88007F251E5B}" name="Total Credits" dataDxfId="27">
      <calculatedColumnFormula>SUMIFS(INDIRECT("_" &amp; SUBSTITUTE($C$2,"-","_") &amp; "\Transactions[Amount]"), INDIRECT("_" &amp; SUBSTITUTE($C$2,"-","_") &amp; "\Transactions[Category]"),_2023_12\Saving_Budgets[[#This Row],[Name]], INDIRECT("_" &amp; SUBSTITUTE($C$2,"-","_") &amp; "\Transactions[Type]"),"Credit")</calculatedColumnFormula>
    </tableColumn>
    <tableColumn id="5" xr3:uid="{F37ED862-60E6-4D5A-A950-7BB4CD0A030E}" name="Remaining Budget" dataDxfId="26">
      <calculatedColumnFormula>_2023_12\Saving_Budgets[[#This Row],[Amount]]+_2023_12\Saving_Budgets[[#This Row],[Total Debits]]-_2023_12\Saving_Budgets[[#This Row],[Total Credits]]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58FC819-A2B6-4B61-B96D-E3F80EF12A1B}" name="2023-12\Actual_Income" displayName="_2023_12\Actual_Income" ref="I67:R76" totalsRowShown="0" headerRowDxfId="25" dataDxfId="24" tableBorderDxfId="23">
  <autoFilter ref="I67:R76" xr:uid="{E5E28DBB-8C36-4879-9321-9B9564D6F520}"/>
  <tableColumns count="10">
    <tableColumn id="1" xr3:uid="{2CB6BEBF-F310-4252-B9E2-D60E0099064D}" name="Date" dataDxfId="22"/>
    <tableColumn id="2" xr3:uid="{CCA5A52C-278B-4FAC-823C-73943FE4F86B}" name="Source" dataDxfId="21"/>
    <tableColumn id="3" xr3:uid="{B6EA6B82-49E3-4FD0-A1FA-51B60EF52526}" name="Salary Income" dataDxfId="20"/>
    <tableColumn id="9" xr3:uid="{A0CFA480-CF89-4C44-A233-AD822DAFAAEC}" name="Additional Taxable Income" dataDxfId="19"/>
    <tableColumn id="4" xr3:uid="{93CD6A1D-725E-4034-A066-04F427C331C8}" name="Retirement Contributions" dataDxfId="18"/>
    <tableColumn id="10" xr3:uid="{408BD8B8-A154-41EF-AEAF-595534489D32}" name="Pension Contributions" dataDxfId="17"/>
    <tableColumn id="5" xr3:uid="{91C4B5C2-6FB9-41E0-9095-7D8D5C34F078}" name="Healthcare Deductions" dataDxfId="16"/>
    <tableColumn id="6" xr3:uid="{F690E3E0-B430-4A53-9B4A-69643CD0EC47}" name="Other Payroll Deductions" dataDxfId="15"/>
    <tableColumn id="7" xr3:uid="{B460951E-E093-4715-890E-7BF21C3175AC}" name="Taxes" dataDxfId="14"/>
    <tableColumn id="8" xr3:uid="{C94C1442-891D-4A44-BD71-24E1DCE43C0F}" name="Net Income" dataDxfId="13">
      <calculatedColumnFormula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741F337-D9FB-4B7F-BA1F-6632E357B657}" name="2023-12\Expected_Income" displayName="_2023_12\Expected_Income" ref="I55:R64" totalsRowShown="0" headerRowDxfId="12" dataDxfId="11" tableBorderDxfId="10">
  <autoFilter ref="I55:R64" xr:uid="{CBEC8C2F-5549-4B3F-927C-B3465789AE2F}"/>
  <tableColumns count="10">
    <tableColumn id="1" xr3:uid="{8D8E2308-881D-420E-BB5B-0F6E8C202548}" name="Date" dataDxfId="9"/>
    <tableColumn id="2" xr3:uid="{404AA842-6E8B-4767-837C-0F03F4DC29C9}" name="Source" dataDxfId="8"/>
    <tableColumn id="3" xr3:uid="{4569C1D2-0FE4-45C7-98D7-7C15ABE93184}" name="Salary Income" dataDxfId="7">
      <calculatedColumnFormula>IF(_2023_12\Expected_Income[[#This Row],[Source]]="Advantage",$J$51,IF(_2023_12\Expected_Income[[#This Row],[Source]]="Saline", $J$52, " "))</calculatedColumnFormula>
    </tableColumn>
    <tableColumn id="9" xr3:uid="{D95C7627-966A-4DDE-8F13-895138ECE28C}" name="Additional Taxable Income" dataDxfId="6">
      <calculatedColumnFormula>IF(_2023_12\Expected_Income[[#This Row],[Source]]="Advantage",$K$51,IF(_2023_12\Expected_Income[[#This Row],[Source]]="Saline", $K$52, " "))</calculatedColumnFormula>
    </tableColumn>
    <tableColumn id="4" xr3:uid="{258DA638-1377-49A5-B290-D6FBC42167FB}" name="Retirement Contributions" dataDxfId="5">
      <calculatedColumnFormula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calculatedColumnFormula>
    </tableColumn>
    <tableColumn id="10" xr3:uid="{3D6DA1E1-795C-4F3D-919D-A396789E9164}" name="Pension Contributions" dataDxfId="4">
      <calculatedColumnFormula>IF(_2023_12\Expected_Income[[#This Row],[Source]]="Advantage",_2023_12\Expected_Income[[#This Row],[Salary Income]]*$M$51,IF(_2023_12\Expected_Income[[#This Row],[Source]]="Saline", _2023_12\Expected_Income[[#This Row],[Salary Income]]*$M$52, " "))</calculatedColumnFormula>
    </tableColumn>
    <tableColumn id="5" xr3:uid="{6E9488A3-0B9D-4018-9627-D6F82AC7C88C}" name="Healthcare Deductions" dataDxfId="3">
      <calculatedColumnFormula>IF(_2023_12\Expected_Income[[#This Row],[Source]]="Advantage",$N$51,IF(_2023_12\Expected_Income[[#This Row],[Source]]="Saline", $N$52, " "))</calculatedColumnFormula>
    </tableColumn>
    <tableColumn id="6" xr3:uid="{59E4BFA2-00A7-4D16-8D3E-542175A8FF47}" name="Other Payroll Deductions" dataDxfId="2">
      <calculatedColumnFormula>IF(_2023_12\Expected_Income[[#This Row],[Source]]="Advantage",$P$51,IF(_2023_12\Expected_Income[[#This Row],[Source]]="Saline", $P$52, " "))</calculatedColumnFormula>
    </tableColumn>
    <tableColumn id="7" xr3:uid="{E1171B0B-6437-4157-AF2B-FBA583FF88B8}" name="Taxes" dataDxfId="1">
      <calculatedColumnFormula>IF(_2023_12\Expected_Income[[#This Row],[Source]]="Advantage",$O$51,IF(_2023_12\Expected_Income[[#This Row],[Source]]="Saline", $O$52, " "))</calculatedColumnFormula>
    </tableColumn>
    <tableColumn id="8" xr3:uid="{72C68A96-657A-4095-8217-C4A98BECECF5}" name="Net Income" dataDxfId="0">
      <calculatedColumnFormula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2320-3C80-4C51-B522-EBAAC3A7C0D3}">
  <sheetPr codeName="Sheet20"/>
  <dimension ref="B2:R120"/>
  <sheetViews>
    <sheetView tabSelected="1" topLeftCell="A23" workbookViewId="0">
      <selection activeCell="I51" sqref="I51"/>
    </sheetView>
  </sheetViews>
  <sheetFormatPr defaultRowHeight="15" x14ac:dyDescent="0.25"/>
  <cols>
    <col min="2" max="2" width="36.85546875" customWidth="1"/>
    <col min="3" max="4" width="24.140625" bestFit="1" customWidth="1"/>
    <col min="5" max="5" width="23.5703125" bestFit="1" customWidth="1"/>
    <col min="6" max="6" width="24.85546875" customWidth="1"/>
    <col min="7" max="7" width="26.140625" customWidth="1"/>
    <col min="8" max="8" width="27" customWidth="1"/>
    <col min="9" max="18" width="25.7109375" customWidth="1"/>
  </cols>
  <sheetData>
    <row r="2" spans="2:16" x14ac:dyDescent="0.25">
      <c r="B2" s="1" t="s">
        <v>13</v>
      </c>
      <c r="C2" t="str" cm="1">
        <f t="array" aca="1" ref="C2" ca="1">_xlfn.TEXTAFTER(CELL("filename",A1),"]")</f>
        <v>Template</v>
      </c>
      <c r="D2" s="1" t="s">
        <v>14</v>
      </c>
      <c r="E2" t="e">
        <f ca="1">_xlfn.CONCAT(IF(RIGHT(C2,2)="01", VALUE(LEFT(C2,4))-1, LEFT(C2,4)), "-", IF(RIGHT(C2,2)="01","12",TEXT(VALUE(RIGHT(C2,2))-1,"00")))</f>
        <v>#VALUE!</v>
      </c>
    </row>
    <row r="4" spans="2:16" ht="23.25" x14ac:dyDescent="0.35">
      <c r="B4" s="2" t="s">
        <v>6</v>
      </c>
      <c r="C4" s="1" t="s">
        <v>35</v>
      </c>
      <c r="D4" s="1" t="s">
        <v>36</v>
      </c>
      <c r="E4" s="1" t="s">
        <v>37</v>
      </c>
      <c r="I4" s="2" t="s">
        <v>0</v>
      </c>
    </row>
    <row r="5" spans="2:16" x14ac:dyDescent="0.25">
      <c r="B5" s="1" t="s">
        <v>31</v>
      </c>
      <c r="C5" s="3" t="e">
        <f ca="1">SUM(INDIRECT("_" &amp; SUBSTITUTE($C$2,"-","_") &amp; "\Expected_Income[Salary Income]")) + SUM(INDIRECT("_" &amp; SUBSTITUTE($C$2,"-","_") &amp; "\Expected_Income[Additional Taxable Income]"))</f>
        <v>#REF!</v>
      </c>
      <c r="D5" s="3" t="e">
        <f ca="1">SUM(INDIRECT("_" &amp; SUBSTITUTE($C$2,"-","_") &amp; "\Actual_Income[Salary Income]")) + SUM(INDIRECT("_" &amp; SUBSTITUTE($C$2,"-","_") &amp; "\Actual_Income[Additional Taxable Income]"))</f>
        <v>#REF!</v>
      </c>
      <c r="E5" s="14" t="e">
        <f t="shared" ref="E5:E10" ca="1" si="0">D5-C5</f>
        <v>#REF!</v>
      </c>
      <c r="I5" s="1" t="s">
        <v>5</v>
      </c>
      <c r="J5" s="1" t="s">
        <v>1</v>
      </c>
      <c r="K5" s="1" t="s">
        <v>2</v>
      </c>
      <c r="L5" s="1" t="s">
        <v>3</v>
      </c>
      <c r="M5" s="1" t="s">
        <v>7</v>
      </c>
      <c r="N5" s="1" t="s">
        <v>22</v>
      </c>
      <c r="O5" s="1" t="s">
        <v>23</v>
      </c>
      <c r="P5" s="1" t="s">
        <v>4</v>
      </c>
    </row>
    <row r="6" spans="2:16" x14ac:dyDescent="0.25">
      <c r="B6" s="1" t="s">
        <v>32</v>
      </c>
      <c r="C6" s="3" t="e">
        <f ca="1">SUM(INDIRECT("_" &amp; SUBSTITUTE($C$2,"-","_") &amp; "\Expected_Income[Retirement Contributions]"))</f>
        <v>#REF!</v>
      </c>
      <c r="D6" s="3" t="e">
        <f ca="1">SUM(INDIRECT("_" &amp; SUBSTITUTE($C$2,"-","_") &amp; "\Actual_Income[Retirement Contributions]"))</f>
        <v>#REF!</v>
      </c>
      <c r="E6" s="14" t="e">
        <f t="shared" ca="1" si="0"/>
        <v>#REF!</v>
      </c>
      <c r="I6" s="4"/>
      <c r="J6" s="4"/>
      <c r="K6" s="5"/>
      <c r="L6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6" s="5"/>
      <c r="N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6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7" spans="2:16" x14ac:dyDescent="0.25">
      <c r="B7" s="1" t="s">
        <v>45</v>
      </c>
      <c r="C7" s="14" t="e">
        <f ca="1">SUM(INDIRECT("_" &amp; SUBSTITUTE($C$2,"-","_") &amp; "\Expected_Income[Healthcare Deductions]"))</f>
        <v>#REF!</v>
      </c>
      <c r="D7" s="14" t="e">
        <f ca="1">SUM(INDIRECT("_" &amp; SUBSTITUTE($C$2,"-","_") &amp; "\Actual_Income[Healthcare Deductions]"))</f>
        <v>#REF!</v>
      </c>
      <c r="E7" s="14" t="e">
        <f t="shared" ca="1" si="0"/>
        <v>#REF!</v>
      </c>
      <c r="I7" s="4"/>
      <c r="J7" s="4"/>
      <c r="K7" s="5"/>
      <c r="L7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7" s="5"/>
      <c r="N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7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8" spans="2:16" x14ac:dyDescent="0.25">
      <c r="B8" s="1" t="s">
        <v>44</v>
      </c>
      <c r="C8" s="14" t="e">
        <f ca="1">SUM(INDIRECT("_" &amp; SUBSTITUTE($C$2,"-","_") &amp; "\Expected_Income[Other Payroll Deductions]"))</f>
        <v>#REF!</v>
      </c>
      <c r="D8" s="14" t="e">
        <f ca="1">SUM(INDIRECT("_" &amp; SUBSTITUTE($C$2,"-","_") &amp; "\Actual_Income[Other Payroll Deductions]"))</f>
        <v>#REF!</v>
      </c>
      <c r="E8" s="14" t="e">
        <f t="shared" ca="1" si="0"/>
        <v>#REF!</v>
      </c>
      <c r="I8" s="4"/>
      <c r="J8" s="4"/>
      <c r="K8" s="5"/>
      <c r="L8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8" s="5"/>
      <c r="N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8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9" spans="2:16" x14ac:dyDescent="0.25">
      <c r="B9" s="1" t="s">
        <v>33</v>
      </c>
      <c r="C9" s="14" t="e">
        <f ca="1">SUM(INDIRECT("_" &amp; SUBSTITUTE($C$2,"-","_") &amp; "\Expected_Income[Taxes]"))</f>
        <v>#REF!</v>
      </c>
      <c r="D9" s="3" t="e">
        <f ca="1">SUM(INDIRECT("_" &amp; SUBSTITUTE($C$2,"-","_") &amp; "\Actual_Income[Taxes]"))</f>
        <v>#REF!</v>
      </c>
      <c r="E9" s="14" t="e">
        <f t="shared" ca="1" si="0"/>
        <v>#REF!</v>
      </c>
      <c r="I9" s="4"/>
      <c r="J9" s="4"/>
      <c r="K9" s="5"/>
      <c r="L9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9" s="5"/>
      <c r="N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9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9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0" spans="2:16" x14ac:dyDescent="0.25">
      <c r="B10" s="1" t="s">
        <v>34</v>
      </c>
      <c r="C10" s="14" t="e">
        <f ca="1">SUM(INDIRECT("_" &amp; SUBSTITUTE($C$2,"-","_") &amp; "\Expected_Income[Net Income]"))</f>
        <v>#REF!</v>
      </c>
      <c r="D10" s="3" t="e">
        <f ca="1">SUM(INDIRECT("_" &amp; SUBSTITUTE($C$2,"-","_") &amp; "\Actual_Income[Net Income]"))</f>
        <v>#REF!</v>
      </c>
      <c r="E10" s="14" t="e">
        <f t="shared" ca="1" si="0"/>
        <v>#REF!</v>
      </c>
      <c r="I10" s="4"/>
      <c r="J10" s="4"/>
      <c r="K10" s="5"/>
      <c r="L10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0" s="5"/>
      <c r="N1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0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1" spans="2:16" x14ac:dyDescent="0.25">
      <c r="I11" s="4"/>
      <c r="J11" s="4"/>
      <c r="K11" s="5"/>
      <c r="L11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1" s="5"/>
      <c r="N11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1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1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2" spans="2:16" x14ac:dyDescent="0.25">
      <c r="C12" s="1" t="s">
        <v>43</v>
      </c>
      <c r="D12" s="1" t="s">
        <v>36</v>
      </c>
      <c r="E12" s="1" t="s">
        <v>37</v>
      </c>
      <c r="I12" s="4"/>
      <c r="J12" s="4"/>
      <c r="K12" s="5"/>
      <c r="L12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2" s="5"/>
      <c r="N1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2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3" spans="2:16" x14ac:dyDescent="0.25">
      <c r="B13" s="1" t="s">
        <v>41</v>
      </c>
      <c r="C13" s="14" t="e">
        <f ca="1">SUM(INDIRECT("_" &amp; SUBSTITUTE($C$2,"-","_") &amp; "\Budgets[Amount]"))</f>
        <v>#REF!</v>
      </c>
      <c r="D13" s="14" t="e">
        <f ca="1">SUM(INDIRECT("_" &amp; SUBSTITUTE($C$2,"-","_") &amp; "\Budgets[Total Debits]"))</f>
        <v>#REF!</v>
      </c>
      <c r="E13" s="14" t="e">
        <f ca="1">D13-C13</f>
        <v>#REF!</v>
      </c>
      <c r="I13" s="4"/>
      <c r="J13" s="4"/>
      <c r="K13" s="5"/>
      <c r="L13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3" s="5"/>
      <c r="N1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3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3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4" spans="2:16" x14ac:dyDescent="0.25">
      <c r="B14" s="1" t="s">
        <v>42</v>
      </c>
      <c r="C14" s="14" t="e">
        <f ca="1">SUM(INDIRECT("_" &amp; SUBSTITUTE($C$2,"-","_") &amp; "\Saving_Budgets[Amount]"))</f>
        <v>#REF!</v>
      </c>
      <c r="D14" s="14" t="e" cm="1">
        <f t="array" aca="1" ref="D14" ca="1">SUM(INDIRECT("_" &amp; SUBSTITUTE($C$2,"-","_") &amp; "\Saving_Budgets[Total Credits]") - INDIRECT("_" &amp; SUBSTITUTE($C$2,"-","_") &amp; "\Saving_Budgets[Total Debits]"))</f>
        <v>#REF!</v>
      </c>
      <c r="E14" s="14" t="e">
        <f ca="1">D14-C14</f>
        <v>#REF!</v>
      </c>
      <c r="I14" s="4"/>
      <c r="J14" s="4"/>
      <c r="K14" s="5"/>
      <c r="L14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4" s="5"/>
      <c r="N14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4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4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5" spans="2:16" x14ac:dyDescent="0.25">
      <c r="B15" s="1" t="s">
        <v>47</v>
      </c>
      <c r="C15" s="14" t="e">
        <f ca="1">C13+C14</f>
        <v>#REF!</v>
      </c>
      <c r="D15" s="14"/>
      <c r="E15" s="14"/>
      <c r="I15" s="4"/>
      <c r="J15" s="4"/>
      <c r="K15" s="5"/>
      <c r="L15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5" s="5"/>
      <c r="N15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5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5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6" spans="2:16" x14ac:dyDescent="0.25">
      <c r="B16" s="1" t="s">
        <v>46</v>
      </c>
      <c r="C16" s="14" t="e">
        <f ca="1">C10-C13-C14</f>
        <v>#REF!</v>
      </c>
      <c r="D16" s="14"/>
      <c r="E16" s="14"/>
      <c r="I16" s="4"/>
      <c r="J16" s="4"/>
      <c r="K16" s="5"/>
      <c r="L16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6" s="5"/>
      <c r="N1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6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6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7" spans="2:16" x14ac:dyDescent="0.25">
      <c r="I17" s="4"/>
      <c r="J17" s="4"/>
      <c r="K17" s="5"/>
      <c r="L17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7" s="5"/>
      <c r="N1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7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7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8" spans="2:16" ht="23.25" x14ac:dyDescent="0.35">
      <c r="B18" s="2" t="s">
        <v>8</v>
      </c>
      <c r="I18" s="4"/>
      <c r="J18" s="4"/>
      <c r="K18" s="5"/>
      <c r="L18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8" s="5"/>
      <c r="N1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8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8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19" spans="2:16" x14ac:dyDescent="0.25">
      <c r="B19" s="1" t="s">
        <v>9</v>
      </c>
      <c r="C19" s="1" t="s">
        <v>10</v>
      </c>
      <c r="D19" s="1" t="s">
        <v>11</v>
      </c>
      <c r="E19" s="1" t="s">
        <v>12</v>
      </c>
      <c r="F19" s="1" t="s">
        <v>1</v>
      </c>
      <c r="G19" s="1" t="s">
        <v>2</v>
      </c>
      <c r="I19" s="7"/>
      <c r="J19" s="7"/>
      <c r="K19" s="9"/>
      <c r="L19" s="19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19" s="9"/>
      <c r="N19" s="13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19" s="13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19" s="13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20" spans="2:16" x14ac:dyDescent="0.25">
      <c r="B20" s="6"/>
      <c r="C20" s="4"/>
      <c r="D20" s="4"/>
      <c r="E20" s="4"/>
      <c r="F20" s="4"/>
      <c r="G20" s="10"/>
      <c r="I20" s="4"/>
      <c r="J20" s="4"/>
      <c r="K20" s="5"/>
      <c r="L20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0" s="5"/>
      <c r="N2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0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0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21" spans="2:16" x14ac:dyDescent="0.25">
      <c r="B21" s="6"/>
      <c r="C21" s="4"/>
      <c r="D21" s="4"/>
      <c r="E21" s="4"/>
      <c r="F21" s="4"/>
      <c r="G21" s="10"/>
      <c r="I21" s="4"/>
      <c r="J21" s="4"/>
      <c r="K21" s="5"/>
      <c r="L21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1" s="5"/>
      <c r="N21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1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1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22" spans="2:16" x14ac:dyDescent="0.25">
      <c r="B22" s="6"/>
      <c r="C22" s="4"/>
      <c r="D22" s="4"/>
      <c r="E22" s="4"/>
      <c r="F22" s="4"/>
      <c r="G22" s="10"/>
      <c r="I22" s="4"/>
      <c r="J22" s="4"/>
      <c r="K22" s="5"/>
      <c r="L22" s="18" t="str">
        <f ca="1">IF(_2023_08__2_\Budgets_[[#This Row],[Type]]&lt;&gt;"Rolling", "", IF(NOT(ISBLANK(_2023_08__2_\Budgets_[[#This Row],[Override Rollover Amount]])), _2023_08__2_\Budgets_[[#This Row],[Override Rollover Amount]], SUMIF(INDIRECT("_" &amp; SUBSTITUTE($E$2,"-","_") &amp; "\Budgets[Name]"),_2023_08__2_\Budgets_[[#This Row],[Name]],INDIRECT("_" &amp; SUBSTITUTE($E$2,"-","_") &amp; "\Budgets[Remaining Budget]"))))</f>
        <v/>
      </c>
      <c r="M22" s="5"/>
      <c r="N2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"\Transactions[Type]"),"Debit")</f>
        <v>#REF!</v>
      </c>
      <c r="O22" s="11" t="e">
        <f ca="1">SUMIFS(INDIRECT("_" &amp; SUBSTITUTE($C$2,"-","_") &amp; "\Transactions[Amount]"), INDIRECT("_" &amp; SUBSTITUTE($C$2,"-","_") &amp; "\Transactions[Category]"),_2023_08__2_\Budgets_[[#This Row],[Name]], INDIRECT("_" &amp; SUBSTITUTE($C$2,"-","_") &amp; "\Transactions[Type]"),"Credit")</f>
        <v>#REF!</v>
      </c>
      <c r="P22" s="11" t="e">
        <f ca="1">_2023_08__2_\Budgets_[[#This Row],[Amount]]+IF(NOT(_2023_08__2_\Budgets_[[#This Row],[Rollover From Last Month]]=""),_2023_08__2_\Budgets_[[#This Row],[Rollover From Last Month]],0)-_2023_08__2_\Budgets_[[#This Row],[Total Debits]]+_2023_08__2_\Budgets_[[#This Row],[Total Credits]]</f>
        <v>#REF!</v>
      </c>
    </row>
    <row r="23" spans="2:16" x14ac:dyDescent="0.25">
      <c r="B23" s="6"/>
      <c r="C23" s="4"/>
      <c r="D23" s="4"/>
      <c r="E23" s="4"/>
      <c r="F23" s="4"/>
      <c r="G23" s="10"/>
    </row>
    <row r="24" spans="2:16" ht="23.25" x14ac:dyDescent="0.35">
      <c r="B24" s="6"/>
      <c r="C24" s="4"/>
      <c r="D24" s="4"/>
      <c r="E24" s="4"/>
      <c r="F24" s="4"/>
      <c r="G24" s="10"/>
      <c r="I24" s="2" t="s">
        <v>51</v>
      </c>
    </row>
    <row r="25" spans="2:16" x14ac:dyDescent="0.25">
      <c r="B25" s="6"/>
      <c r="C25" s="4"/>
      <c r="D25" s="4"/>
      <c r="E25" s="4"/>
      <c r="F25" s="4"/>
      <c r="G25" s="10"/>
      <c r="I25" s="1" t="s">
        <v>5</v>
      </c>
      <c r="J25" s="1" t="s">
        <v>2</v>
      </c>
      <c r="K25" s="1" t="s">
        <v>22</v>
      </c>
      <c r="L25" s="1" t="s">
        <v>23</v>
      </c>
      <c r="M25" s="1" t="s">
        <v>4</v>
      </c>
    </row>
    <row r="26" spans="2:16" x14ac:dyDescent="0.25">
      <c r="B26" s="6"/>
      <c r="C26" s="4"/>
      <c r="D26" s="4"/>
      <c r="E26" s="4"/>
      <c r="F26" s="4"/>
      <c r="G26" s="10"/>
      <c r="I26" s="4"/>
      <c r="J26" s="10"/>
      <c r="K26" s="11" t="e">
        <f ca="1">SUMIFS(INDIRECT("_" &amp; SUBSTITUTE($C$2,"-","_") &amp; "\Transactions[Amount]"), INDIRECT("_" &amp; SUBSTITUTE($C$2,"-","_") &amp; "\Transactions[Category]"),_2023_08__2_\Saving_Budgets[[#This Row],[Name]], INDIRECT("_" &amp; SUBSTITUTE($C$2,"-","_") &amp; "\Transactions[Type]"),"Debit")</f>
        <v>#REF!</v>
      </c>
      <c r="L26" s="11" t="e">
        <f ca="1">SUMIFS(INDIRECT("_" &amp; SUBSTITUTE($C$2,"-","_") &amp; "\Transactions[Amount]"), INDIRECT("_" &amp; SUBSTITUTE($C$2,"-","_") &amp; "\Transactions[Category]"),_2023_08__2_\Saving_Budgets[[#This Row],[Name]], INDIRECT("_" &amp; SUBSTITUTE($C$2,"-","_") &amp; "\Transactions[Type]"),"Credit")</f>
        <v>#REF!</v>
      </c>
      <c r="M26" s="11" t="e">
        <f ca="1">_2023_08__2_\Saving_Budgets[[#This Row],[Amount]]-_2023_08__2_\Saving_Budgets[[#This Row],[Total Debits]]+_2023_08__2_\Saving_Budgets[[#This Row],[Total Credits]]</f>
        <v>#REF!</v>
      </c>
    </row>
    <row r="27" spans="2:16" x14ac:dyDescent="0.25">
      <c r="B27" s="6"/>
      <c r="C27" s="4"/>
      <c r="D27" s="4"/>
      <c r="E27" s="4"/>
      <c r="F27" s="4"/>
      <c r="G27" s="10"/>
      <c r="I27" s="4"/>
      <c r="J27" s="10"/>
      <c r="K27" s="11" t="e">
        <f ca="1">SUMIFS(INDIRECT("_" &amp; SUBSTITUTE($C$2,"-","_") &amp; "\Transactions[Amount]"), INDIRECT("_" &amp; SUBSTITUTE($C$2,"-","_") &amp; "\Transactions[Category]"),_2023_08__2_\Saving_Budgets[[#This Row],[Name]], INDIRECT("_" &amp; SUBSTITUTE($C$2,"-","_") &amp; "\Transactions[Type]"),"Debit")</f>
        <v>#REF!</v>
      </c>
      <c r="L27" s="11" t="e">
        <f ca="1">SUMIFS(INDIRECT("_" &amp; SUBSTITUTE($C$2,"-","_") &amp; "\Transactions[Amount]"), INDIRECT("_" &amp; SUBSTITUTE($C$2,"-","_") &amp; "\Transactions[Category]"),_2023_08__2_\Saving_Budgets[[#This Row],[Name]], INDIRECT("_" &amp; SUBSTITUTE($C$2,"-","_") &amp; "\Transactions[Type]"),"Credit")</f>
        <v>#REF!</v>
      </c>
      <c r="M27" s="11" t="e">
        <f ca="1">_2023_08__2_\Saving_Budgets[[#This Row],[Amount]]-_2023_08__2_\Saving_Budgets[[#This Row],[Total Debits]]+_2023_08__2_\Saving_Budgets[[#This Row],[Total Credits]]</f>
        <v>#REF!</v>
      </c>
    </row>
    <row r="28" spans="2:16" x14ac:dyDescent="0.25">
      <c r="B28" s="6"/>
      <c r="C28" s="4"/>
      <c r="D28" s="4"/>
      <c r="E28" s="4"/>
      <c r="F28" s="4"/>
      <c r="G28" s="10"/>
      <c r="I28" s="4"/>
      <c r="J28" s="10"/>
      <c r="K28" s="11" t="e">
        <f ca="1">SUMIFS(INDIRECT("_" &amp; SUBSTITUTE($C$2,"-","_") &amp; "\Transactions[Amount]"), INDIRECT("_" &amp; SUBSTITUTE($C$2,"-","_") &amp; "\Transactions[Category]"),_2023_08__2_\Saving_Budgets[[#This Row],[Name]], INDIRECT("_" &amp; SUBSTITUTE($C$2,"-","_") &amp; "\Transactions[Type]"),"Debit")</f>
        <v>#REF!</v>
      </c>
      <c r="L28" s="11" t="e">
        <f ca="1">SUMIFS(INDIRECT("_" &amp; SUBSTITUTE($C$2,"-","_") &amp; "\Transactions[Amount]"), INDIRECT("_" &amp; SUBSTITUTE($C$2,"-","_") &amp; "\Transactions[Category]"),_2023_08__2_\Saving_Budgets[[#This Row],[Name]], INDIRECT("_" &amp; SUBSTITUTE($C$2,"-","_") &amp; "\Transactions[Type]"),"Credit")</f>
        <v>#REF!</v>
      </c>
      <c r="M28" s="11" t="e">
        <f ca="1">_2023_08__2_\Saving_Budgets[[#This Row],[Amount]]-_2023_08__2_\Saving_Budgets[[#This Row],[Total Debits]]+_2023_08__2_\Saving_Budgets[[#This Row],[Total Credits]]</f>
        <v>#REF!</v>
      </c>
    </row>
    <row r="29" spans="2:16" x14ac:dyDescent="0.25">
      <c r="B29" s="6"/>
      <c r="C29" s="4"/>
      <c r="D29" s="4"/>
      <c r="E29" s="4"/>
      <c r="F29" s="4"/>
      <c r="G29" s="10"/>
    </row>
    <row r="30" spans="2:16" ht="23.25" x14ac:dyDescent="0.35">
      <c r="B30" s="6"/>
      <c r="C30" s="4"/>
      <c r="D30" s="4"/>
      <c r="E30" s="4"/>
      <c r="F30" s="4"/>
      <c r="G30" s="10"/>
      <c r="I30" s="2" t="s">
        <v>20</v>
      </c>
    </row>
    <row r="31" spans="2:16" x14ac:dyDescent="0.25">
      <c r="B31" s="6"/>
      <c r="C31" s="4"/>
      <c r="D31" s="4"/>
      <c r="E31" s="4"/>
      <c r="F31" s="4"/>
      <c r="G31" s="10"/>
      <c r="I31" s="1" t="s">
        <v>5</v>
      </c>
      <c r="J31" s="1" t="s">
        <v>12</v>
      </c>
      <c r="K31" s="1" t="s">
        <v>15</v>
      </c>
      <c r="L31" s="1" t="s">
        <v>16</v>
      </c>
      <c r="M31" s="1" t="s">
        <v>17</v>
      </c>
      <c r="N31" s="1" t="s">
        <v>18</v>
      </c>
      <c r="O31" s="1" t="s">
        <v>19</v>
      </c>
    </row>
    <row r="32" spans="2:16" x14ac:dyDescent="0.25">
      <c r="B32" s="6"/>
      <c r="C32" s="4"/>
      <c r="D32" s="4"/>
      <c r="E32" s="4"/>
      <c r="F32" s="4"/>
      <c r="G32" s="10"/>
      <c r="I32" s="4"/>
      <c r="J32" s="4"/>
      <c r="K32" s="5"/>
      <c r="L32" s="5"/>
      <c r="M32" s="5"/>
      <c r="N32" s="5"/>
      <c r="O32" s="5"/>
    </row>
    <row r="33" spans="2:15" x14ac:dyDescent="0.25">
      <c r="B33" s="6"/>
      <c r="C33" s="4"/>
      <c r="D33" s="4"/>
      <c r="E33" s="4"/>
      <c r="F33" s="4"/>
      <c r="G33" s="10"/>
      <c r="I33" s="4"/>
      <c r="J33" s="4"/>
      <c r="K33" s="5"/>
      <c r="L33" s="5"/>
      <c r="M33" s="5"/>
      <c r="N33" s="5"/>
      <c r="O33" s="5"/>
    </row>
    <row r="34" spans="2:15" x14ac:dyDescent="0.25">
      <c r="B34" s="6"/>
      <c r="C34" s="4"/>
      <c r="D34" s="4"/>
      <c r="E34" s="4"/>
      <c r="F34" s="4"/>
      <c r="G34" s="10"/>
      <c r="I34" s="4"/>
      <c r="J34" s="4"/>
      <c r="K34" s="5"/>
      <c r="L34" s="5"/>
      <c r="M34" s="5"/>
      <c r="N34" s="5"/>
      <c r="O34" s="5"/>
    </row>
    <row r="35" spans="2:15" x14ac:dyDescent="0.25">
      <c r="B35" s="6"/>
      <c r="C35" s="4"/>
      <c r="D35" s="4"/>
      <c r="E35" s="4"/>
      <c r="F35" s="4"/>
      <c r="G35" s="10"/>
      <c r="I35" s="4"/>
      <c r="J35" s="4"/>
      <c r="K35" s="5"/>
      <c r="L35" s="5"/>
      <c r="M35" s="5"/>
      <c r="N35" s="5"/>
      <c r="O35" s="5"/>
    </row>
    <row r="36" spans="2:15" x14ac:dyDescent="0.25">
      <c r="B36" s="6"/>
      <c r="C36" s="4"/>
      <c r="D36" s="4"/>
      <c r="E36" s="4"/>
      <c r="F36" s="4"/>
      <c r="G36" s="10"/>
      <c r="I36" s="4"/>
      <c r="J36" s="4"/>
      <c r="K36" s="5"/>
      <c r="L36" s="5"/>
      <c r="M36" s="5"/>
      <c r="N36" s="5"/>
      <c r="O36" s="5"/>
    </row>
    <row r="37" spans="2:15" x14ac:dyDescent="0.25">
      <c r="B37" s="6"/>
      <c r="C37" s="4"/>
      <c r="D37" s="4"/>
      <c r="E37" s="4"/>
      <c r="F37" s="4"/>
      <c r="G37" s="10"/>
      <c r="I37" s="4"/>
      <c r="J37" s="4"/>
      <c r="K37" s="5"/>
      <c r="L37" s="5"/>
      <c r="M37" s="5"/>
      <c r="N37" s="5"/>
      <c r="O37" s="5"/>
    </row>
    <row r="38" spans="2:15" x14ac:dyDescent="0.25">
      <c r="B38" s="6"/>
      <c r="C38" s="4"/>
      <c r="D38" s="4"/>
      <c r="E38" s="4"/>
      <c r="F38" s="4"/>
      <c r="G38" s="10"/>
      <c r="I38" s="4"/>
      <c r="J38" s="4"/>
      <c r="K38" s="5"/>
      <c r="L38" s="5"/>
      <c r="M38" s="5"/>
      <c r="N38" s="5"/>
      <c r="O38" s="5"/>
    </row>
    <row r="39" spans="2:15" x14ac:dyDescent="0.25">
      <c r="B39" s="6"/>
      <c r="C39" s="4"/>
      <c r="D39" s="4"/>
      <c r="E39" s="4"/>
      <c r="F39" s="4"/>
      <c r="G39" s="10"/>
      <c r="I39" s="4"/>
      <c r="J39" s="4"/>
      <c r="K39" s="5"/>
      <c r="L39" s="5"/>
      <c r="M39" s="5"/>
      <c r="N39" s="5"/>
      <c r="O39" s="5"/>
    </row>
    <row r="40" spans="2:15" x14ac:dyDescent="0.25">
      <c r="B40" s="6"/>
      <c r="C40" s="4"/>
      <c r="D40" s="4"/>
      <c r="E40" s="4"/>
      <c r="F40" s="4"/>
      <c r="G40" s="10"/>
      <c r="I40" s="7"/>
      <c r="J40" s="7"/>
      <c r="K40" s="9"/>
      <c r="L40" s="9"/>
      <c r="M40" s="9"/>
      <c r="N40" s="9"/>
      <c r="O40" s="9"/>
    </row>
    <row r="41" spans="2:15" x14ac:dyDescent="0.25">
      <c r="B41" s="6"/>
      <c r="C41" s="4"/>
      <c r="D41" s="4"/>
      <c r="E41" s="4"/>
      <c r="F41" s="4"/>
      <c r="G41" s="10"/>
      <c r="I41" s="7"/>
      <c r="J41" s="7"/>
      <c r="K41" s="9"/>
      <c r="L41" s="9"/>
      <c r="M41" s="9"/>
      <c r="N41" s="9"/>
      <c r="O41" s="9"/>
    </row>
    <row r="42" spans="2:15" x14ac:dyDescent="0.25">
      <c r="B42" s="6"/>
      <c r="C42" s="4"/>
      <c r="D42" s="4"/>
      <c r="E42" s="4"/>
      <c r="F42" s="4"/>
      <c r="G42" s="10"/>
      <c r="I42" s="7"/>
      <c r="J42" s="7"/>
      <c r="K42" s="9"/>
      <c r="L42" s="9"/>
      <c r="M42" s="9"/>
      <c r="N42" s="9"/>
      <c r="O42" s="9"/>
    </row>
    <row r="43" spans="2:15" x14ac:dyDescent="0.25">
      <c r="B43" s="6"/>
      <c r="C43" s="4"/>
      <c r="D43" s="4"/>
      <c r="E43" s="4"/>
      <c r="F43" s="4"/>
      <c r="G43" s="10"/>
      <c r="I43" s="7"/>
      <c r="J43" s="7"/>
      <c r="K43" s="9"/>
      <c r="L43" s="9"/>
      <c r="M43" s="9"/>
      <c r="N43" s="9"/>
      <c r="O43" s="9"/>
    </row>
    <row r="44" spans="2:15" x14ac:dyDescent="0.25">
      <c r="B44" s="6"/>
      <c r="C44" s="4"/>
      <c r="D44" s="4"/>
      <c r="E44" s="4"/>
      <c r="F44" s="4"/>
      <c r="G44" s="10"/>
      <c r="I44" s="7"/>
      <c r="J44" s="7"/>
      <c r="K44" s="9"/>
      <c r="L44" s="9"/>
      <c r="M44" s="9"/>
      <c r="N44" s="9"/>
      <c r="O44" s="9"/>
    </row>
    <row r="45" spans="2:15" x14ac:dyDescent="0.25">
      <c r="B45" s="6"/>
      <c r="C45" s="4"/>
      <c r="D45" s="4"/>
      <c r="E45" s="4"/>
      <c r="F45" s="4"/>
      <c r="G45" s="10"/>
      <c r="I45" s="4"/>
      <c r="J45" s="4"/>
      <c r="K45" s="5"/>
      <c r="L45" s="5"/>
      <c r="M45" s="5"/>
      <c r="N45" s="5"/>
      <c r="O45" s="5"/>
    </row>
    <row r="46" spans="2:15" x14ac:dyDescent="0.25">
      <c r="B46" s="6"/>
      <c r="C46" s="4"/>
      <c r="D46" s="4"/>
      <c r="E46" s="4"/>
      <c r="F46" s="4"/>
      <c r="G46" s="10"/>
      <c r="I46" s="4"/>
      <c r="J46" s="4"/>
      <c r="K46" s="9"/>
      <c r="L46" s="5"/>
      <c r="M46" s="5"/>
      <c r="N46" s="5"/>
      <c r="O46" s="5"/>
    </row>
    <row r="47" spans="2:15" x14ac:dyDescent="0.25">
      <c r="B47" s="6"/>
      <c r="C47" s="4"/>
      <c r="D47" s="4"/>
      <c r="E47" s="4"/>
      <c r="F47" s="4"/>
      <c r="G47" s="10"/>
      <c r="I47" s="4"/>
      <c r="J47" s="4"/>
      <c r="K47" s="9"/>
      <c r="L47" s="5"/>
      <c r="M47" s="5"/>
      <c r="N47" s="5"/>
      <c r="O47" s="5"/>
    </row>
    <row r="48" spans="2:15" x14ac:dyDescent="0.25">
      <c r="B48" s="6"/>
      <c r="C48" s="4"/>
      <c r="D48" s="4"/>
      <c r="E48" s="4"/>
      <c r="F48" s="4"/>
      <c r="G48" s="10"/>
    </row>
    <row r="49" spans="2:18" ht="23.25" x14ac:dyDescent="0.35">
      <c r="B49" s="6"/>
      <c r="C49" s="4"/>
      <c r="D49" s="4"/>
      <c r="E49" s="4"/>
      <c r="F49" s="4"/>
      <c r="G49" s="10"/>
      <c r="I49" s="2" t="s">
        <v>40</v>
      </c>
    </row>
    <row r="50" spans="2:18" x14ac:dyDescent="0.25">
      <c r="B50" s="6"/>
      <c r="C50" s="4"/>
      <c r="D50" s="4"/>
      <c r="E50" s="4"/>
      <c r="F50" s="4"/>
      <c r="G50" s="10"/>
      <c r="J50" s="1" t="s">
        <v>48</v>
      </c>
      <c r="K50" s="1" t="s">
        <v>49</v>
      </c>
      <c r="L50" s="1" t="s">
        <v>24</v>
      </c>
      <c r="M50" s="1" t="s">
        <v>50</v>
      </c>
      <c r="N50" s="1" t="s">
        <v>27</v>
      </c>
      <c r="O50" s="1" t="s">
        <v>52</v>
      </c>
      <c r="P50" s="1" t="s">
        <v>25</v>
      </c>
    </row>
    <row r="51" spans="2:18" x14ac:dyDescent="0.25">
      <c r="B51" s="6"/>
      <c r="C51" s="4"/>
      <c r="D51" s="4"/>
      <c r="E51" s="4"/>
      <c r="F51" s="4"/>
      <c r="G51" s="10"/>
      <c r="I51" s="1" t="s">
        <v>38</v>
      </c>
      <c r="J51" s="10"/>
      <c r="K51" s="10"/>
      <c r="L51" s="21"/>
      <c r="M51" s="21"/>
      <c r="N51" s="10"/>
      <c r="O51" s="10"/>
      <c r="P51" s="10"/>
    </row>
    <row r="52" spans="2:18" x14ac:dyDescent="0.25">
      <c r="B52" s="6"/>
      <c r="C52" s="4"/>
      <c r="D52" s="4"/>
      <c r="E52" s="4"/>
      <c r="F52" s="4"/>
      <c r="G52" s="10"/>
      <c r="I52" s="1" t="s">
        <v>39</v>
      </c>
      <c r="J52" s="10"/>
      <c r="K52" s="10"/>
      <c r="L52" s="21"/>
      <c r="M52" s="22"/>
      <c r="N52" s="10"/>
      <c r="O52" s="10"/>
      <c r="P52" s="10"/>
    </row>
    <row r="53" spans="2:18" x14ac:dyDescent="0.25">
      <c r="B53" s="6"/>
      <c r="C53" s="4"/>
      <c r="D53" s="4"/>
      <c r="E53" s="4"/>
      <c r="F53" s="4"/>
      <c r="G53" s="10"/>
      <c r="I53" s="1"/>
    </row>
    <row r="54" spans="2:18" ht="23.25" x14ac:dyDescent="0.35">
      <c r="B54" s="6"/>
      <c r="C54" s="4"/>
      <c r="D54" s="4"/>
      <c r="E54" s="4"/>
      <c r="F54" s="4"/>
      <c r="G54" s="10"/>
      <c r="I54" s="2" t="s">
        <v>29</v>
      </c>
    </row>
    <row r="55" spans="2:18" x14ac:dyDescent="0.25">
      <c r="B55" s="6"/>
      <c r="C55" s="4"/>
      <c r="D55" s="4"/>
      <c r="E55" s="4"/>
      <c r="F55" s="4"/>
      <c r="G55" s="10"/>
      <c r="I55" s="1" t="s">
        <v>9</v>
      </c>
      <c r="J55" s="1" t="s">
        <v>21</v>
      </c>
      <c r="K55" s="1" t="s">
        <v>48</v>
      </c>
      <c r="L55" s="1" t="s">
        <v>49</v>
      </c>
      <c r="M55" s="1" t="s">
        <v>24</v>
      </c>
      <c r="N55" s="1" t="s">
        <v>50</v>
      </c>
      <c r="O55" s="1" t="s">
        <v>27</v>
      </c>
      <c r="P55" s="1" t="s">
        <v>25</v>
      </c>
      <c r="Q55" s="1" t="s">
        <v>28</v>
      </c>
      <c r="R55" s="1" t="s">
        <v>26</v>
      </c>
    </row>
    <row r="56" spans="2:18" x14ac:dyDescent="0.25">
      <c r="B56" s="6"/>
      <c r="C56" s="4"/>
      <c r="D56" s="4"/>
      <c r="E56" s="4"/>
      <c r="F56" s="4"/>
      <c r="G56" s="10"/>
      <c r="I56" s="6"/>
      <c r="J56" s="4"/>
      <c r="K56" s="15" t="str">
        <f>IF(_2023_08__2_\Expected_Income_[[#This Row],[Source]]="Advantage",$J$51,IF(_2023_08__2_\Expected_Income_[[#This Row],[Source]]="Saline", $J$52, " "))</f>
        <v xml:space="preserve"> </v>
      </c>
      <c r="L56" s="15" t="str">
        <f>IF(_2023_08__2_\Expected_Income_[[#This Row],[Source]]="Advantage",$K$51,IF(_2023_08__2_\Expected_Income_[[#This Row],[Source]]="Saline", $K$52, " "))</f>
        <v xml:space="preserve"> </v>
      </c>
      <c r="M56" s="15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56" s="15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56" s="16" t="str">
        <f>IF(_2023_08__2_\Expected_Income_[[#This Row],[Source]]="Advantage",$N$51,IF(_2023_08__2_\Expected_Income_[[#This Row],[Source]]="Saline", $N$52, " "))</f>
        <v xml:space="preserve"> </v>
      </c>
      <c r="P56" s="15" t="str">
        <f>IF(_2023_08__2_\Expected_Income_[[#This Row],[Source]]="Advantage",$P$51,IF(_2023_08__2_\Expected_Income_[[#This Row],[Source]]="Saline", $P$52, " "))</f>
        <v xml:space="preserve"> </v>
      </c>
      <c r="Q56" s="15" t="str">
        <f>IF(_2023_08__2_\Expected_Income_[[#This Row],[Source]]="Advantage",$O$51,IF(_2023_08__2_\Expected_Income_[[#This Row],[Source]]="Saline", $O$52, " "))</f>
        <v xml:space="preserve"> </v>
      </c>
      <c r="R56" s="15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57" spans="2:18" x14ac:dyDescent="0.25">
      <c r="B57" s="6"/>
      <c r="C57" s="4"/>
      <c r="D57" s="4"/>
      <c r="E57" s="4"/>
      <c r="F57" s="4"/>
      <c r="G57" s="10"/>
      <c r="I57" s="6"/>
      <c r="J57" s="4"/>
      <c r="K57" s="15" t="str">
        <f>IF(_2023_08__2_\Expected_Income_[[#This Row],[Source]]="Advantage",$J$51,IF(_2023_08__2_\Expected_Income_[[#This Row],[Source]]="Saline", $J$52, " "))</f>
        <v xml:space="preserve"> </v>
      </c>
      <c r="L57" s="15" t="str">
        <f>IF(_2023_08__2_\Expected_Income_[[#This Row],[Source]]="Advantage",$K$51,IF(_2023_08__2_\Expected_Income_[[#This Row],[Source]]="Saline", $K$52, " "))</f>
        <v xml:space="preserve"> </v>
      </c>
      <c r="M57" s="15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57" s="15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57" s="16" t="str">
        <f>IF(_2023_08__2_\Expected_Income_[[#This Row],[Source]]="Advantage",$N$51,IF(_2023_08__2_\Expected_Income_[[#This Row],[Source]]="Saline", $N$52, " "))</f>
        <v xml:space="preserve"> </v>
      </c>
      <c r="P57" s="15" t="str">
        <f>IF(_2023_08__2_\Expected_Income_[[#This Row],[Source]]="Advantage",$P$51,IF(_2023_08__2_\Expected_Income_[[#This Row],[Source]]="Saline", $P$52, " "))</f>
        <v xml:space="preserve"> </v>
      </c>
      <c r="Q57" s="15" t="str">
        <f>IF(_2023_08__2_\Expected_Income_[[#This Row],[Source]]="Advantage",$O$51,IF(_2023_08__2_\Expected_Income_[[#This Row],[Source]]="Saline", $O$52, " "))</f>
        <v xml:space="preserve"> </v>
      </c>
      <c r="R57" s="15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58" spans="2:18" x14ac:dyDescent="0.25">
      <c r="B58" s="6"/>
      <c r="C58" s="4"/>
      <c r="D58" s="4"/>
      <c r="E58" s="4"/>
      <c r="F58" s="4"/>
      <c r="G58" s="10"/>
      <c r="I58" s="6"/>
      <c r="J58" s="4"/>
      <c r="K58" s="15" t="str">
        <f>IF(_2023_08__2_\Expected_Income_[[#This Row],[Source]]="Advantage",$J$51,IF(_2023_08__2_\Expected_Income_[[#This Row],[Source]]="Saline", $J$52, " "))</f>
        <v xml:space="preserve"> </v>
      </c>
      <c r="L58" s="15" t="str">
        <f>IF(_2023_08__2_\Expected_Income_[[#This Row],[Source]]="Advantage",$K$51,IF(_2023_08__2_\Expected_Income_[[#This Row],[Source]]="Saline", $K$52, " "))</f>
        <v xml:space="preserve"> </v>
      </c>
      <c r="M58" s="15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58" s="15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58" s="16" t="str">
        <f>IF(_2023_08__2_\Expected_Income_[[#This Row],[Source]]="Advantage",$N$51,IF(_2023_08__2_\Expected_Income_[[#This Row],[Source]]="Saline", $N$52, " "))</f>
        <v xml:space="preserve"> </v>
      </c>
      <c r="P58" s="15" t="str">
        <f>IF(_2023_08__2_\Expected_Income_[[#This Row],[Source]]="Advantage",$P$51,IF(_2023_08__2_\Expected_Income_[[#This Row],[Source]]="Saline", $P$52, " "))</f>
        <v xml:space="preserve"> </v>
      </c>
      <c r="Q58" s="15" t="str">
        <f>IF(_2023_08__2_\Expected_Income_[[#This Row],[Source]]="Advantage",$O$51,IF(_2023_08__2_\Expected_Income_[[#This Row],[Source]]="Saline", $O$52, " "))</f>
        <v xml:space="preserve"> </v>
      </c>
      <c r="R58" s="15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59" spans="2:18" x14ac:dyDescent="0.25">
      <c r="B59" s="6"/>
      <c r="C59" s="4"/>
      <c r="D59" s="4"/>
      <c r="E59" s="4"/>
      <c r="F59" s="4"/>
      <c r="G59" s="10"/>
      <c r="I59" s="6"/>
      <c r="J59" s="4"/>
      <c r="K59" s="15" t="str">
        <f>IF(_2023_08__2_\Expected_Income_[[#This Row],[Source]]="Advantage",$J$51,IF(_2023_08__2_\Expected_Income_[[#This Row],[Source]]="Saline", $J$52, " "))</f>
        <v xml:space="preserve"> </v>
      </c>
      <c r="L59" s="15" t="str">
        <f>IF(_2023_08__2_\Expected_Income_[[#This Row],[Source]]="Advantage",$K$51,IF(_2023_08__2_\Expected_Income_[[#This Row],[Source]]="Saline", $K$52, " "))</f>
        <v xml:space="preserve"> </v>
      </c>
      <c r="M59" s="15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59" s="15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59" s="16" t="str">
        <f>IF(_2023_08__2_\Expected_Income_[[#This Row],[Source]]="Advantage",$N$51,IF(_2023_08__2_\Expected_Income_[[#This Row],[Source]]="Saline", $N$52, " "))</f>
        <v xml:space="preserve"> </v>
      </c>
      <c r="P59" s="15" t="str">
        <f>IF(_2023_08__2_\Expected_Income_[[#This Row],[Source]]="Advantage",$P$51,IF(_2023_08__2_\Expected_Income_[[#This Row],[Source]]="Saline", $P$52, " "))</f>
        <v xml:space="preserve"> </v>
      </c>
      <c r="Q59" s="15" t="str">
        <f>IF(_2023_08__2_\Expected_Income_[[#This Row],[Source]]="Advantage",$O$51,IF(_2023_08__2_\Expected_Income_[[#This Row],[Source]]="Saline", $O$52, " "))</f>
        <v xml:space="preserve"> </v>
      </c>
      <c r="R59" s="15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60" spans="2:18" x14ac:dyDescent="0.25">
      <c r="B60" s="6"/>
      <c r="C60" s="4"/>
      <c r="D60" s="4"/>
      <c r="E60" s="4"/>
      <c r="F60" s="4"/>
      <c r="G60" s="10"/>
      <c r="I60" s="6"/>
      <c r="J60" s="4"/>
      <c r="K60" s="15" t="str">
        <f>IF(_2023_08__2_\Expected_Income_[[#This Row],[Source]]="Advantage",$J$51,IF(_2023_08__2_\Expected_Income_[[#This Row],[Source]]="Saline", $J$52, " "))</f>
        <v xml:space="preserve"> </v>
      </c>
      <c r="L60" s="15" t="str">
        <f>IF(_2023_08__2_\Expected_Income_[[#This Row],[Source]]="Advantage",$K$51,IF(_2023_08__2_\Expected_Income_[[#This Row],[Source]]="Saline", $K$52, " "))</f>
        <v xml:space="preserve"> </v>
      </c>
      <c r="M60" s="15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60" s="15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60" s="16" t="str">
        <f>IF(_2023_08__2_\Expected_Income_[[#This Row],[Source]]="Advantage",$N$51,IF(_2023_08__2_\Expected_Income_[[#This Row],[Source]]="Saline", $N$52, " "))</f>
        <v xml:space="preserve"> </v>
      </c>
      <c r="P60" s="15" t="str">
        <f>IF(_2023_08__2_\Expected_Income_[[#This Row],[Source]]="Advantage",$P$51,IF(_2023_08__2_\Expected_Income_[[#This Row],[Source]]="Saline", $P$52, " "))</f>
        <v xml:space="preserve"> </v>
      </c>
      <c r="Q60" s="15" t="str">
        <f>IF(_2023_08__2_\Expected_Income_[[#This Row],[Source]]="Advantage",$O$51,IF(_2023_08__2_\Expected_Income_[[#This Row],[Source]]="Saline", $O$52, " "))</f>
        <v xml:space="preserve"> </v>
      </c>
      <c r="R60" s="15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61" spans="2:18" x14ac:dyDescent="0.25">
      <c r="B61" s="6"/>
      <c r="C61" s="4"/>
      <c r="D61" s="4"/>
      <c r="E61" s="4"/>
      <c r="F61" s="4"/>
      <c r="G61" s="10"/>
      <c r="I61" s="6"/>
      <c r="J61" s="4"/>
      <c r="K61" s="15" t="str">
        <f>IF(_2023_08__2_\Expected_Income_[[#This Row],[Source]]="Advantage",$J$51,IF(_2023_08__2_\Expected_Income_[[#This Row],[Source]]="Saline", $J$52, " "))</f>
        <v xml:space="preserve"> </v>
      </c>
      <c r="L61" s="15" t="str">
        <f>IF(_2023_08__2_\Expected_Income_[[#This Row],[Source]]="Advantage",$K$51,IF(_2023_08__2_\Expected_Income_[[#This Row],[Source]]="Saline", $K$52, " "))</f>
        <v xml:space="preserve"> </v>
      </c>
      <c r="M61" s="15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61" s="15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61" s="16" t="str">
        <f>IF(_2023_08__2_\Expected_Income_[[#This Row],[Source]]="Advantage",$N$51,IF(_2023_08__2_\Expected_Income_[[#This Row],[Source]]="Saline", $N$52, " "))</f>
        <v xml:space="preserve"> </v>
      </c>
      <c r="P61" s="15" t="str">
        <f>IF(_2023_08__2_\Expected_Income_[[#This Row],[Source]]="Advantage",$P$51,IF(_2023_08__2_\Expected_Income_[[#This Row],[Source]]="Saline", $P$52, " "))</f>
        <v xml:space="preserve"> </v>
      </c>
      <c r="Q61" s="15" t="str">
        <f>IF(_2023_08__2_\Expected_Income_[[#This Row],[Source]]="Advantage",$O$51,IF(_2023_08__2_\Expected_Income_[[#This Row],[Source]]="Saline", $O$52, " "))</f>
        <v xml:space="preserve"> </v>
      </c>
      <c r="R61" s="15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62" spans="2:18" x14ac:dyDescent="0.25">
      <c r="B62" s="6"/>
      <c r="C62" s="4"/>
      <c r="D62" s="4"/>
      <c r="E62" s="4"/>
      <c r="F62" s="4"/>
      <c r="G62" s="10"/>
      <c r="I62" s="6"/>
      <c r="J62" s="4"/>
      <c r="K62" s="15" t="str">
        <f>IF(_2023_08__2_\Expected_Income_[[#This Row],[Source]]="Advantage",$J$51,IF(_2023_08__2_\Expected_Income_[[#This Row],[Source]]="Saline", $J$52, " "))</f>
        <v xml:space="preserve"> </v>
      </c>
      <c r="L62" s="15" t="str">
        <f>IF(_2023_08__2_\Expected_Income_[[#This Row],[Source]]="Advantage",$K$51,IF(_2023_08__2_\Expected_Income_[[#This Row],[Source]]="Saline", $K$52, " "))</f>
        <v xml:space="preserve"> </v>
      </c>
      <c r="M62" s="15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62" s="15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62" s="16" t="str">
        <f>IF(_2023_08__2_\Expected_Income_[[#This Row],[Source]]="Advantage",$N$51,IF(_2023_08__2_\Expected_Income_[[#This Row],[Source]]="Saline", $N$52, " "))</f>
        <v xml:space="preserve"> </v>
      </c>
      <c r="P62" s="15" t="str">
        <f>IF(_2023_08__2_\Expected_Income_[[#This Row],[Source]]="Advantage",$P$51,IF(_2023_08__2_\Expected_Income_[[#This Row],[Source]]="Saline", $P$52, " "))</f>
        <v xml:space="preserve"> </v>
      </c>
      <c r="Q62" s="15" t="str">
        <f>IF(_2023_08__2_\Expected_Income_[[#This Row],[Source]]="Advantage",$O$51,IF(_2023_08__2_\Expected_Income_[[#This Row],[Source]]="Saline", $O$52, " "))</f>
        <v xml:space="preserve"> </v>
      </c>
      <c r="R62" s="15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63" spans="2:18" x14ac:dyDescent="0.25">
      <c r="B63" s="6"/>
      <c r="C63" s="4"/>
      <c r="D63" s="4"/>
      <c r="E63" s="4"/>
      <c r="F63" s="4"/>
      <c r="G63" s="10"/>
      <c r="I63" s="6"/>
      <c r="J63" s="4"/>
      <c r="K63" s="15" t="str">
        <f>IF(_2023_08__2_\Expected_Income_[[#This Row],[Source]]="Advantage",$J$51,IF(_2023_08__2_\Expected_Income_[[#This Row],[Source]]="Saline", $J$52, " "))</f>
        <v xml:space="preserve"> </v>
      </c>
      <c r="L63" s="15" t="str">
        <f>IF(_2023_08__2_\Expected_Income_[[#This Row],[Source]]="Advantage",$K$51,IF(_2023_08__2_\Expected_Income_[[#This Row],[Source]]="Saline", $K$52, " "))</f>
        <v xml:space="preserve"> </v>
      </c>
      <c r="M63" s="15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63" s="15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63" s="16" t="str">
        <f>IF(_2023_08__2_\Expected_Income_[[#This Row],[Source]]="Advantage",$N$51,IF(_2023_08__2_\Expected_Income_[[#This Row],[Source]]="Saline", $N$52, " "))</f>
        <v xml:space="preserve"> </v>
      </c>
      <c r="P63" s="15" t="str">
        <f>IF(_2023_08__2_\Expected_Income_[[#This Row],[Source]]="Advantage",$P$51,IF(_2023_08__2_\Expected_Income_[[#This Row],[Source]]="Saline", $P$52, " "))</f>
        <v xml:space="preserve"> </v>
      </c>
      <c r="Q63" s="15" t="str">
        <f>IF(_2023_08__2_\Expected_Income_[[#This Row],[Source]]="Advantage",$O$51,IF(_2023_08__2_\Expected_Income_[[#This Row],[Source]]="Saline", $O$52, " "))</f>
        <v xml:space="preserve"> </v>
      </c>
      <c r="R63" s="15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64" spans="2:18" x14ac:dyDescent="0.25">
      <c r="B64" s="6"/>
      <c r="C64" s="4"/>
      <c r="D64" s="4"/>
      <c r="E64" s="4"/>
      <c r="F64" s="4"/>
      <c r="G64" s="10"/>
      <c r="I64" s="8"/>
      <c r="J64" s="7"/>
      <c r="K64" s="17" t="str">
        <f>IF(_2023_08__2_\Expected_Income_[[#This Row],[Source]]="Advantage",$J$51,IF(_2023_08__2_\Expected_Income_[[#This Row],[Source]]="Saline", $J$52, " "))</f>
        <v xml:space="preserve"> </v>
      </c>
      <c r="L64" s="17" t="str">
        <f>IF(_2023_08__2_\Expected_Income_[[#This Row],[Source]]="Advantage",$K$51,IF(_2023_08__2_\Expected_Income_[[#This Row],[Source]]="Saline", $K$52, " "))</f>
        <v xml:space="preserve"> </v>
      </c>
      <c r="M64" s="17" t="str">
        <f>IF(_2023_08__2_\Expected_Income_[[#This Row],[Source]]="Advantage",(_2023_08__2_\Expected_Income_[[#This Row],[Salary Income]]+_2023_08__2_\Expected_Income_[[#This Row],[Additional Taxable Income]])*$L$51,IF(_2023_08__2_\Expected_Income_[[#This Row],[Source]]="Saline", (_2023_08__2_\Expected_Income_[[#This Row],[Salary Income]]+_2023_08__2_\Expected_Income_[[#This Row],[Additional Taxable Income]])*$L$52, " "))</f>
        <v xml:space="preserve"> </v>
      </c>
      <c r="N64" s="17" t="str">
        <f>IF(_2023_08__2_\Expected_Income_[[#This Row],[Source]]="Advantage",_2023_08__2_\Expected_Income_[[#This Row],[Salary Income]]*$M$51,IF(_2023_08__2_\Expected_Income_[[#This Row],[Source]]="Saline", _2023_08__2_\Expected_Income_[[#This Row],[Salary Income]]*$M$52, " "))</f>
        <v xml:space="preserve"> </v>
      </c>
      <c r="O64" s="20" t="str">
        <f>IF(_2023_08__2_\Expected_Income_[[#This Row],[Source]]="Advantage",$N$51,IF(_2023_08__2_\Expected_Income_[[#This Row],[Source]]="Saline", $N$52, " "))</f>
        <v xml:space="preserve"> </v>
      </c>
      <c r="P64" s="17" t="str">
        <f>IF(_2023_08__2_\Expected_Income_[[#This Row],[Source]]="Advantage",$P$51,IF(_2023_08__2_\Expected_Income_[[#This Row],[Source]]="Saline", $P$52, " "))</f>
        <v xml:space="preserve"> </v>
      </c>
      <c r="Q64" s="17" t="str">
        <f>IF(_2023_08__2_\Expected_Income_[[#This Row],[Source]]="Advantage",$O$51,IF(_2023_08__2_\Expected_Income_[[#This Row],[Source]]="Saline", $O$52, " "))</f>
        <v xml:space="preserve"> </v>
      </c>
      <c r="R64" s="17" t="str">
        <f>IF(_2023_08__2_\Expected_Income_[[#This Row],[Source]]&lt;&gt;"", _2023_08__2_\Expected_Income_[[#This Row],[Salary Income]]+_2023_08__2_\Expected_Income_[[#This Row],[Additional Taxable Income]]-_2023_08__2_\Expected_Income_[[#This Row],[Retirement Contributions]]-_2023_08__2_\Expected_Income_[[#This Row],[Pension Contributions]]-_2023_08__2_\Expected_Income_[[#This Row],[Healthcare Deductions]]-_2023_08__2_\Expected_Income_[[#This Row],[Other Payroll Deductions]]-_2023_08__2_\Expected_Income_[[#This Row],[Taxes]], "")</f>
        <v/>
      </c>
    </row>
    <row r="65" spans="2:18" x14ac:dyDescent="0.25">
      <c r="B65" s="6"/>
      <c r="C65" s="4"/>
      <c r="D65" s="4"/>
      <c r="E65" s="4"/>
      <c r="F65" s="4"/>
      <c r="G65" s="10"/>
    </row>
    <row r="66" spans="2:18" ht="23.25" x14ac:dyDescent="0.35">
      <c r="B66" s="6"/>
      <c r="C66" s="4"/>
      <c r="D66" s="4"/>
      <c r="E66" s="4"/>
      <c r="F66" s="4"/>
      <c r="G66" s="10"/>
      <c r="I66" s="2" t="s">
        <v>30</v>
      </c>
    </row>
    <row r="67" spans="2:18" x14ac:dyDescent="0.25">
      <c r="B67" s="6"/>
      <c r="C67" s="4"/>
      <c r="D67" s="4"/>
      <c r="E67" s="4"/>
      <c r="F67" s="4"/>
      <c r="G67" s="10"/>
      <c r="I67" s="1" t="s">
        <v>9</v>
      </c>
      <c r="J67" s="1" t="s">
        <v>21</v>
      </c>
      <c r="K67" s="1" t="s">
        <v>48</v>
      </c>
      <c r="L67" s="1" t="s">
        <v>49</v>
      </c>
      <c r="M67" s="1" t="s">
        <v>24</v>
      </c>
      <c r="N67" s="1" t="s">
        <v>50</v>
      </c>
      <c r="O67" s="1" t="s">
        <v>27</v>
      </c>
      <c r="P67" s="1" t="s">
        <v>25</v>
      </c>
      <c r="Q67" s="1" t="s">
        <v>28</v>
      </c>
      <c r="R67" s="1" t="s">
        <v>26</v>
      </c>
    </row>
    <row r="68" spans="2:18" x14ac:dyDescent="0.25">
      <c r="B68" s="6"/>
      <c r="C68" s="4"/>
      <c r="D68" s="4"/>
      <c r="E68" s="4"/>
      <c r="F68" s="4"/>
      <c r="G68" s="10"/>
      <c r="I68" s="6"/>
      <c r="J68" s="4"/>
      <c r="K68" s="5"/>
      <c r="L68" s="5"/>
      <c r="M68" s="5"/>
      <c r="N68" s="5"/>
      <c r="O68" s="10"/>
      <c r="P68" s="5"/>
      <c r="Q68" s="5"/>
      <c r="R68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69" spans="2:18" x14ac:dyDescent="0.25">
      <c r="B69" s="6"/>
      <c r="C69" s="4"/>
      <c r="D69" s="4"/>
      <c r="E69" s="4"/>
      <c r="F69" s="4"/>
      <c r="G69" s="10"/>
      <c r="I69" s="6"/>
      <c r="J69" s="4"/>
      <c r="K69" s="5"/>
      <c r="L69" s="5"/>
      <c r="M69" s="5"/>
      <c r="N69" s="5"/>
      <c r="O69" s="10"/>
      <c r="P69" s="5"/>
      <c r="Q69" s="5"/>
      <c r="R69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0" spans="2:18" x14ac:dyDescent="0.25">
      <c r="B70" s="6"/>
      <c r="C70" s="4"/>
      <c r="D70" s="4"/>
      <c r="E70" s="4"/>
      <c r="F70" s="4"/>
      <c r="G70" s="10"/>
      <c r="I70" s="6"/>
      <c r="J70" s="4"/>
      <c r="K70" s="5"/>
      <c r="L70" s="5"/>
      <c r="M70" s="5"/>
      <c r="N70" s="5"/>
      <c r="O70" s="10"/>
      <c r="P70" s="5"/>
      <c r="Q70" s="5"/>
      <c r="R70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1" spans="2:18" x14ac:dyDescent="0.25">
      <c r="B71" s="6"/>
      <c r="C71" s="4"/>
      <c r="D71" s="4"/>
      <c r="E71" s="4"/>
      <c r="F71" s="4"/>
      <c r="G71" s="10"/>
      <c r="I71" s="6"/>
      <c r="J71" s="4"/>
      <c r="K71" s="5"/>
      <c r="L71" s="5"/>
      <c r="M71" s="5"/>
      <c r="N71" s="5"/>
      <c r="O71" s="10"/>
      <c r="P71" s="5"/>
      <c r="Q71" s="5"/>
      <c r="R71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2" spans="2:18" x14ac:dyDescent="0.25">
      <c r="B72" s="6"/>
      <c r="C72" s="4"/>
      <c r="D72" s="4"/>
      <c r="E72" s="4"/>
      <c r="F72" s="4"/>
      <c r="G72" s="10"/>
      <c r="I72" s="6"/>
      <c r="J72" s="4"/>
      <c r="K72" s="5"/>
      <c r="L72" s="5"/>
      <c r="M72" s="5"/>
      <c r="N72" s="5"/>
      <c r="O72" s="10"/>
      <c r="P72" s="5"/>
      <c r="Q72" s="5"/>
      <c r="R72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3" spans="2:18" x14ac:dyDescent="0.25">
      <c r="B73" s="6"/>
      <c r="C73" s="4"/>
      <c r="D73" s="4"/>
      <c r="E73" s="4"/>
      <c r="F73" s="4"/>
      <c r="G73" s="10"/>
      <c r="I73" s="6"/>
      <c r="J73" s="4"/>
      <c r="K73" s="5"/>
      <c r="L73" s="5"/>
      <c r="M73" s="5"/>
      <c r="N73" s="5"/>
      <c r="O73" s="10"/>
      <c r="P73" s="5"/>
      <c r="Q73" s="5"/>
      <c r="R73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4" spans="2:18" x14ac:dyDescent="0.25">
      <c r="B74" s="6"/>
      <c r="C74" s="4"/>
      <c r="D74" s="4"/>
      <c r="E74" s="4"/>
      <c r="F74" s="4"/>
      <c r="G74" s="10"/>
      <c r="I74" s="6"/>
      <c r="J74" s="4"/>
      <c r="K74" s="5"/>
      <c r="L74" s="5"/>
      <c r="M74" s="5"/>
      <c r="N74" s="5"/>
      <c r="O74" s="10"/>
      <c r="P74" s="5"/>
      <c r="Q74" s="5"/>
      <c r="R74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5" spans="2:18" x14ac:dyDescent="0.25">
      <c r="B75" s="6"/>
      <c r="C75" s="4"/>
      <c r="D75" s="4"/>
      <c r="E75" s="4"/>
      <c r="F75" s="4"/>
      <c r="G75" s="10"/>
      <c r="I75" s="6"/>
      <c r="J75" s="4"/>
      <c r="K75" s="5"/>
      <c r="L75" s="5"/>
      <c r="M75" s="5"/>
      <c r="N75" s="5"/>
      <c r="O75" s="10"/>
      <c r="P75" s="5"/>
      <c r="Q75" s="5"/>
      <c r="R75" s="15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6" spans="2:18" x14ac:dyDescent="0.25">
      <c r="B76" s="6"/>
      <c r="C76" s="4"/>
      <c r="D76" s="4"/>
      <c r="E76" s="4"/>
      <c r="F76" s="4"/>
      <c r="G76" s="10"/>
      <c r="I76" s="8"/>
      <c r="J76" s="7"/>
      <c r="K76" s="9"/>
      <c r="L76" s="9"/>
      <c r="M76" s="9"/>
      <c r="N76" s="9"/>
      <c r="O76" s="12"/>
      <c r="P76" s="9"/>
      <c r="Q76" s="9"/>
      <c r="R76" s="17">
        <f>_2023_08__2_\Actual_Income_[[#This Row],[Salary Income]]+_2023_08__2_\Actual_Income_[[#This Row],[Additional Taxable Income]]-_2023_08__2_\Actual_Income_[[#This Row],[Retirement Contributions]]-_2023_08__2_\Actual_Income_[[#This Row],[Pension Contributions]]-_2023_08__2_\Actual_Income_[[#This Row],[Healthcare Deductions]]-_2023_08__2_\Actual_Income_[[#This Row],[Other Payroll Deductions]]-_2023_08__2_\Actual_Income_[[#This Row],[Taxes]]</f>
        <v>0</v>
      </c>
    </row>
    <row r="77" spans="2:18" x14ac:dyDescent="0.25">
      <c r="B77" s="6"/>
      <c r="C77" s="4"/>
      <c r="D77" s="4"/>
      <c r="E77" s="4"/>
      <c r="F77" s="4"/>
      <c r="G77" s="10"/>
    </row>
    <row r="78" spans="2:18" x14ac:dyDescent="0.25">
      <c r="B78" s="6"/>
      <c r="C78" s="4"/>
      <c r="D78" s="4"/>
      <c r="E78" s="4"/>
      <c r="F78" s="4"/>
      <c r="G78" s="10"/>
    </row>
    <row r="79" spans="2:18" x14ac:dyDescent="0.25">
      <c r="B79" s="6"/>
      <c r="C79" s="4"/>
      <c r="D79" s="4"/>
      <c r="E79" s="4"/>
      <c r="F79" s="4"/>
      <c r="G79" s="10"/>
    </row>
    <row r="80" spans="2:18" x14ac:dyDescent="0.25">
      <c r="B80" s="6"/>
      <c r="C80" s="4"/>
      <c r="D80" s="4"/>
      <c r="E80" s="4"/>
      <c r="F80" s="4"/>
      <c r="G80" s="10"/>
    </row>
    <row r="81" spans="2:7" x14ac:dyDescent="0.25">
      <c r="B81" s="6"/>
      <c r="C81" s="4"/>
      <c r="D81" s="4"/>
      <c r="E81" s="4"/>
      <c r="F81" s="4"/>
      <c r="G81" s="10"/>
    </row>
    <row r="82" spans="2:7" x14ac:dyDescent="0.25">
      <c r="B82" s="6"/>
      <c r="C82" s="4"/>
      <c r="D82" s="4"/>
      <c r="E82" s="4"/>
      <c r="F82" s="4"/>
      <c r="G82" s="10"/>
    </row>
    <row r="83" spans="2:7" x14ac:dyDescent="0.25">
      <c r="B83" s="6"/>
      <c r="C83" s="4"/>
      <c r="D83" s="4"/>
      <c r="E83" s="4"/>
      <c r="F83" s="4"/>
      <c r="G83" s="10"/>
    </row>
    <row r="84" spans="2:7" x14ac:dyDescent="0.25">
      <c r="B84" s="6"/>
      <c r="C84" s="4"/>
      <c r="D84" s="4"/>
      <c r="E84" s="4"/>
      <c r="F84" s="4"/>
      <c r="G84" s="10"/>
    </row>
    <row r="85" spans="2:7" x14ac:dyDescent="0.25">
      <c r="B85" s="6"/>
      <c r="C85" s="4"/>
      <c r="D85" s="4"/>
      <c r="E85" s="4"/>
      <c r="F85" s="4"/>
      <c r="G85" s="10"/>
    </row>
    <row r="86" spans="2:7" x14ac:dyDescent="0.25">
      <c r="B86" s="6"/>
      <c r="C86" s="4"/>
      <c r="D86" s="4"/>
      <c r="E86" s="4"/>
      <c r="F86" s="4"/>
      <c r="G86" s="10"/>
    </row>
    <row r="87" spans="2:7" x14ac:dyDescent="0.25">
      <c r="B87" s="6"/>
      <c r="C87" s="4"/>
      <c r="D87" s="4"/>
      <c r="E87" s="4"/>
      <c r="F87" s="4"/>
      <c r="G87" s="10"/>
    </row>
    <row r="88" spans="2:7" x14ac:dyDescent="0.25">
      <c r="B88" s="6"/>
      <c r="C88" s="4"/>
      <c r="D88" s="4"/>
      <c r="E88" s="4"/>
      <c r="F88" s="4"/>
      <c r="G88" s="10"/>
    </row>
    <row r="89" spans="2:7" x14ac:dyDescent="0.25">
      <c r="B89" s="6"/>
      <c r="C89" s="4"/>
      <c r="D89" s="4"/>
      <c r="E89" s="4"/>
      <c r="F89" s="4"/>
      <c r="G89" s="10"/>
    </row>
    <row r="90" spans="2:7" x14ac:dyDescent="0.25">
      <c r="B90" s="6"/>
      <c r="C90" s="4"/>
      <c r="D90" s="4"/>
      <c r="E90" s="4"/>
      <c r="F90" s="4"/>
      <c r="G90" s="10"/>
    </row>
    <row r="91" spans="2:7" x14ac:dyDescent="0.25">
      <c r="B91" s="6"/>
      <c r="C91" s="4"/>
      <c r="D91" s="4"/>
      <c r="E91" s="4"/>
      <c r="F91" s="4"/>
      <c r="G91" s="10"/>
    </row>
    <row r="92" spans="2:7" x14ac:dyDescent="0.25">
      <c r="B92" s="6"/>
      <c r="C92" s="4"/>
      <c r="D92" s="4"/>
      <c r="E92" s="4"/>
      <c r="F92" s="4"/>
      <c r="G92" s="10"/>
    </row>
    <row r="93" spans="2:7" x14ac:dyDescent="0.25">
      <c r="B93" s="6"/>
      <c r="C93" s="4"/>
      <c r="D93" s="4"/>
      <c r="E93" s="4"/>
      <c r="F93" s="4"/>
      <c r="G93" s="10"/>
    </row>
    <row r="94" spans="2:7" x14ac:dyDescent="0.25">
      <c r="B94" s="6"/>
      <c r="C94" s="4"/>
      <c r="D94" s="4"/>
      <c r="E94" s="4"/>
      <c r="F94" s="4"/>
      <c r="G94" s="10"/>
    </row>
    <row r="95" spans="2:7" x14ac:dyDescent="0.25">
      <c r="B95" s="6"/>
      <c r="C95" s="4"/>
      <c r="D95" s="4"/>
      <c r="E95" s="4"/>
      <c r="F95" s="4"/>
      <c r="G95" s="10"/>
    </row>
    <row r="96" spans="2:7" x14ac:dyDescent="0.25">
      <c r="B96" s="6"/>
      <c r="C96" s="4"/>
      <c r="D96" s="4"/>
      <c r="E96" s="4"/>
      <c r="F96" s="4"/>
      <c r="G96" s="10"/>
    </row>
    <row r="97" spans="2:7" x14ac:dyDescent="0.25">
      <c r="B97" s="6"/>
      <c r="C97" s="4"/>
      <c r="D97" s="4"/>
      <c r="E97" s="4"/>
      <c r="F97" s="4"/>
      <c r="G97" s="10"/>
    </row>
    <row r="98" spans="2:7" x14ac:dyDescent="0.25">
      <c r="B98" s="6"/>
      <c r="C98" s="4"/>
      <c r="D98" s="4"/>
      <c r="E98" s="4"/>
      <c r="F98" s="4"/>
      <c r="G98" s="10"/>
    </row>
    <row r="99" spans="2:7" x14ac:dyDescent="0.25">
      <c r="B99" s="6"/>
      <c r="C99" s="4"/>
      <c r="D99" s="4"/>
      <c r="E99" s="4"/>
      <c r="F99" s="4"/>
      <c r="G99" s="10"/>
    </row>
    <row r="100" spans="2:7" x14ac:dyDescent="0.25">
      <c r="B100" s="6"/>
      <c r="C100" s="4"/>
      <c r="D100" s="4"/>
      <c r="E100" s="4"/>
      <c r="F100" s="4"/>
      <c r="G100" s="10"/>
    </row>
    <row r="101" spans="2:7" x14ac:dyDescent="0.25">
      <c r="B101" s="6"/>
      <c r="C101" s="4"/>
      <c r="D101" s="4"/>
      <c r="E101" s="4"/>
      <c r="F101" s="4"/>
      <c r="G101" s="10"/>
    </row>
    <row r="102" spans="2:7" x14ac:dyDescent="0.25">
      <c r="B102" s="6"/>
      <c r="C102" s="4"/>
      <c r="D102" s="4"/>
      <c r="E102" s="4"/>
      <c r="F102" s="4"/>
      <c r="G102" s="10"/>
    </row>
    <row r="103" spans="2:7" x14ac:dyDescent="0.25">
      <c r="B103" s="6"/>
      <c r="C103" s="4"/>
      <c r="D103" s="4"/>
      <c r="E103" s="4"/>
      <c r="F103" s="4"/>
      <c r="G103" s="10"/>
    </row>
    <row r="104" spans="2:7" x14ac:dyDescent="0.25">
      <c r="B104" s="6"/>
      <c r="C104" s="4"/>
      <c r="D104" s="4"/>
      <c r="E104" s="4"/>
      <c r="F104" s="4"/>
      <c r="G104" s="10"/>
    </row>
    <row r="105" spans="2:7" x14ac:dyDescent="0.25">
      <c r="B105" s="6"/>
      <c r="C105" s="4"/>
      <c r="D105" s="4"/>
      <c r="E105" s="4"/>
      <c r="F105" s="4"/>
      <c r="G105" s="10"/>
    </row>
    <row r="106" spans="2:7" x14ac:dyDescent="0.25">
      <c r="B106" s="6"/>
      <c r="C106" s="4"/>
      <c r="D106" s="4"/>
      <c r="E106" s="4"/>
      <c r="F106" s="4"/>
      <c r="G106" s="10"/>
    </row>
    <row r="107" spans="2:7" x14ac:dyDescent="0.25">
      <c r="B107" s="6"/>
      <c r="C107" s="4"/>
      <c r="D107" s="4"/>
      <c r="E107" s="4"/>
      <c r="F107" s="4"/>
      <c r="G107" s="10"/>
    </row>
    <row r="108" spans="2:7" x14ac:dyDescent="0.25">
      <c r="B108" s="6"/>
      <c r="C108" s="4"/>
      <c r="D108" s="4"/>
      <c r="E108" s="4"/>
      <c r="F108" s="4"/>
      <c r="G108" s="10"/>
    </row>
    <row r="109" spans="2:7" x14ac:dyDescent="0.25">
      <c r="B109" s="6"/>
      <c r="C109" s="4"/>
      <c r="D109" s="4"/>
      <c r="E109" s="4"/>
      <c r="F109" s="4"/>
      <c r="G109" s="10"/>
    </row>
    <row r="110" spans="2:7" x14ac:dyDescent="0.25">
      <c r="B110" s="6"/>
      <c r="C110" s="4"/>
      <c r="D110" s="4"/>
      <c r="E110" s="4"/>
      <c r="F110" s="4"/>
      <c r="G110" s="10"/>
    </row>
    <row r="111" spans="2:7" x14ac:dyDescent="0.25">
      <c r="B111" s="6"/>
      <c r="C111" s="4"/>
      <c r="D111" s="4"/>
      <c r="E111" s="4"/>
      <c r="F111" s="4"/>
      <c r="G111" s="10"/>
    </row>
    <row r="112" spans="2:7" x14ac:dyDescent="0.25">
      <c r="B112" s="6"/>
      <c r="C112" s="4"/>
      <c r="D112" s="4"/>
      <c r="E112" s="4"/>
      <c r="F112" s="4"/>
      <c r="G112" s="10"/>
    </row>
    <row r="113" spans="2:7" x14ac:dyDescent="0.25">
      <c r="B113" s="6"/>
      <c r="C113" s="4"/>
      <c r="D113" s="4"/>
      <c r="E113" s="4"/>
      <c r="F113" s="4"/>
      <c r="G113" s="10"/>
    </row>
    <row r="114" spans="2:7" x14ac:dyDescent="0.25">
      <c r="B114" s="6"/>
      <c r="C114" s="4"/>
      <c r="D114" s="4"/>
      <c r="E114" s="4"/>
      <c r="F114" s="4"/>
      <c r="G114" s="10"/>
    </row>
    <row r="115" spans="2:7" x14ac:dyDescent="0.25">
      <c r="B115" s="6"/>
      <c r="C115" s="4"/>
      <c r="D115" s="4"/>
      <c r="E115" s="4"/>
      <c r="F115" s="4"/>
      <c r="G115" s="10"/>
    </row>
    <row r="116" spans="2:7" x14ac:dyDescent="0.25">
      <c r="B116" s="6"/>
      <c r="C116" s="4"/>
      <c r="D116" s="4"/>
      <c r="E116" s="4"/>
      <c r="F116" s="4"/>
      <c r="G116" s="10"/>
    </row>
    <row r="117" spans="2:7" x14ac:dyDescent="0.25">
      <c r="B117" s="6"/>
      <c r="C117" s="4"/>
      <c r="D117" s="4"/>
      <c r="E117" s="4"/>
      <c r="F117" s="4"/>
      <c r="G117" s="10"/>
    </row>
    <row r="118" spans="2:7" x14ac:dyDescent="0.25">
      <c r="B118" s="6"/>
      <c r="C118" s="4"/>
      <c r="D118" s="4"/>
      <c r="E118" s="4"/>
      <c r="F118" s="4"/>
      <c r="G118" s="10"/>
    </row>
    <row r="119" spans="2:7" x14ac:dyDescent="0.25">
      <c r="B119" s="6"/>
      <c r="C119" s="4"/>
      <c r="D119" s="4"/>
      <c r="E119" s="4"/>
      <c r="F119" s="4"/>
      <c r="G119" s="10"/>
    </row>
    <row r="120" spans="2:7" x14ac:dyDescent="0.25">
      <c r="B120" s="6"/>
      <c r="C120" s="4"/>
      <c r="D120" s="4"/>
      <c r="E120" s="4"/>
      <c r="F120" s="4"/>
      <c r="G120" s="10"/>
    </row>
  </sheetData>
  <sheetProtection autoFilter="0"/>
  <phoneticPr fontId="3" type="noConversion"/>
  <conditionalFormatting sqref="G55:G120">
    <cfRule type="expression" dxfId="153" priority="24">
      <formula>AND(INDIRECT("_" &amp; SUBSTITUTE($C$2,"-","_") &amp; "\Transactions[@Category]") &lt;&gt; "Savings", INDIRECT("_" &amp; SUBSTITUTE($C$2,"-","_") &amp; "\Transactions[@Type]") = "Credit")</formula>
    </cfRule>
    <cfRule type="expression" dxfId="152" priority="25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20:G54">
    <cfRule type="expression" dxfId="151" priority="22">
      <formula>AND(INDIRECT("_" &amp; SUBSTITUTE($C$2,"-","_") &amp; "\Transactions[@Category]") &lt;&gt; "Savings", INDIRECT("_" &amp; SUBSTITUTE($C$2,"-","_") &amp; "\Transactions[@Type]") = "Credit")</formula>
    </cfRule>
    <cfRule type="expression" dxfId="150" priority="23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P6:P22">
    <cfRule type="expression" dxfId="149" priority="13">
      <formula>AND(INDIRECT("_" &amp; SUBSTITUTE($C$2,"-","_") &amp; "\Budgets[@Type]")&lt;&gt;"Saving", INDIRECT("_" &amp; SUBSTITUTE($C$2,"-","_") &amp; "\Budgets[@[Remaining Budget]]")&lt;0)</formula>
    </cfRule>
  </conditionalFormatting>
  <conditionalFormatting sqref="E5 E10">
    <cfRule type="expression" dxfId="148" priority="7">
      <formula>E5&lt;0</formula>
    </cfRule>
    <cfRule type="expression" dxfId="147" priority="8">
      <formula>E5&gt;0</formula>
    </cfRule>
  </conditionalFormatting>
  <conditionalFormatting sqref="E6:E9">
    <cfRule type="expression" dxfId="146" priority="9">
      <formula>E6&lt;0</formula>
    </cfRule>
    <cfRule type="expression" dxfId="145" priority="10">
      <formula>E6&gt;0</formula>
    </cfRule>
  </conditionalFormatting>
  <conditionalFormatting sqref="E14">
    <cfRule type="expression" dxfId="144" priority="3">
      <formula>E14&lt;0</formula>
    </cfRule>
    <cfRule type="expression" dxfId="143" priority="4">
      <formula>E14&gt;0</formula>
    </cfRule>
  </conditionalFormatting>
  <conditionalFormatting sqref="E13 E15">
    <cfRule type="expression" dxfId="142" priority="5">
      <formula>E13&lt;0</formula>
    </cfRule>
    <cfRule type="expression" dxfId="141" priority="6">
      <formula>E13&gt;0</formula>
    </cfRule>
  </conditionalFormatting>
  <conditionalFormatting sqref="M26:M28">
    <cfRule type="expression" dxfId="140" priority="1">
      <formula>AND(INDIRECT("_" &amp; SUBSTITUTE($C$2,"-","_") &amp; "\Budgets[@Type]")="Saving", INDIRECT("_" &amp; SUBSTITUTE($C$2,"-","_") &amp; "\Budgets[@[Remaining Budget]]")&lt;0)</formula>
    </cfRule>
    <cfRule type="expression" dxfId="139" priority="2">
      <formula>AND(INDIRECT("_" &amp; SUBSTITUTE($C$2,"-","_") &amp; "\Budgets[@Type]")="Saving", INDIRECT("_" &amp; SUBSTITUTE($C$2,"-","_") &amp; "\Budgets[@[Remaining Budget]]")&gt;0)</formula>
    </cfRule>
  </conditionalFormatting>
  <dataValidations disablePrompts="1" count="4">
    <dataValidation type="list" allowBlank="1" showInputMessage="1" showErrorMessage="1" sqref="E20:E120" xr:uid="{EB170196-1118-4C97-9161-E86478D49D67}">
      <formula1>INDIRECT("_" &amp; SUBSTITUTE($C$2,"-","_") &amp; "\Budgets[Name]")</formula1>
    </dataValidation>
    <dataValidation type="list" allowBlank="1" showInputMessage="1" showErrorMessage="1" sqref="J32:J47" xr:uid="{F5503B13-D553-4F16-B6F0-33B91A40639B}">
      <formula1>"Spending,Reserve,Savings,Loan,Safety Net,Retirement"</formula1>
    </dataValidation>
    <dataValidation type="list" allowBlank="1" showInputMessage="1" showErrorMessage="1" sqref="F20:F120" xr:uid="{B05E802A-906F-40D1-9701-2D696BB85752}">
      <formula1>"Credit,Debit"</formula1>
    </dataValidation>
    <dataValidation type="list" showInputMessage="1" showErrorMessage="1" sqref="J6:J18" xr:uid="{2312BBE8-1DD0-41C6-8CBD-2714C5AF8A88}">
      <formula1>"Rolling,Fixed"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1CDAC-0CFE-471F-8925-DDD6BB2EDE90}">
  <sheetPr codeName="Sheet34"/>
  <dimension ref="B2:R120"/>
  <sheetViews>
    <sheetView topLeftCell="A63" workbookViewId="0">
      <selection activeCell="F30" sqref="F30"/>
    </sheetView>
  </sheetViews>
  <sheetFormatPr defaultRowHeight="15" x14ac:dyDescent="0.25"/>
  <cols>
    <col min="2" max="2" width="36.85546875" customWidth="1"/>
    <col min="3" max="4" width="24.140625" bestFit="1" customWidth="1"/>
    <col min="5" max="5" width="23.5703125" bestFit="1" customWidth="1"/>
    <col min="6" max="6" width="24.85546875" customWidth="1"/>
    <col min="7" max="7" width="26.140625" customWidth="1"/>
    <col min="8" max="8" width="27" customWidth="1"/>
    <col min="9" max="18" width="25.7109375" customWidth="1"/>
  </cols>
  <sheetData>
    <row r="2" spans="2:16" x14ac:dyDescent="0.25">
      <c r="B2" s="1" t="s">
        <v>13</v>
      </c>
      <c r="C2" t="str" cm="1">
        <f t="array" aca="1" ref="C2" ca="1">_xlfn.TEXTAFTER(CELL("filename",A1),"]")</f>
        <v>2023-12</v>
      </c>
      <c r="D2" s="1" t="s">
        <v>14</v>
      </c>
      <c r="E2" t="str">
        <f ca="1">_xlfn.CONCAT(IF(RIGHT(C2,2)="01", VALUE(LEFT(C2,4))-1, LEFT(C2,4)), "-", IF(RIGHT(C2,2)="01","12",TEXT(VALUE(RIGHT(C2,2))-1,"00")))</f>
        <v>2023-11</v>
      </c>
    </row>
    <row r="4" spans="2:16" ht="23.25" x14ac:dyDescent="0.35">
      <c r="B4" s="2" t="s">
        <v>6</v>
      </c>
      <c r="C4" s="1" t="s">
        <v>35</v>
      </c>
      <c r="D4" s="1" t="s">
        <v>36</v>
      </c>
      <c r="E4" s="1" t="s">
        <v>37</v>
      </c>
      <c r="I4" s="2" t="s">
        <v>0</v>
      </c>
    </row>
    <row r="5" spans="2:16" x14ac:dyDescent="0.25">
      <c r="B5" s="1" t="s">
        <v>31</v>
      </c>
      <c r="C5" s="3">
        <f ca="1">SUM(INDIRECT("_" &amp; SUBSTITUTE($C$2,"-","_") &amp; "\Expected_Income[Salary Income]")) + SUM(INDIRECT("_" &amp; SUBSTITUTE($C$2,"-","_") &amp; "\Expected_Income[Additional Taxable Income]"))</f>
        <v>0</v>
      </c>
      <c r="D5" s="3">
        <f ca="1">SUM(INDIRECT("_" &amp; SUBSTITUTE($C$2,"-","_") &amp; "\Actual_Income[Salary Income]")) + SUM(INDIRECT("_" &amp; SUBSTITUTE($C$2,"-","_") &amp; "\Actual_Income[Additional Taxable Income]"))</f>
        <v>0</v>
      </c>
      <c r="E5" s="14">
        <f t="shared" ref="E5:E10" ca="1" si="0">D5-C5</f>
        <v>0</v>
      </c>
      <c r="I5" s="1" t="s">
        <v>5</v>
      </c>
      <c r="J5" s="1" t="s">
        <v>1</v>
      </c>
      <c r="K5" s="1" t="s">
        <v>2</v>
      </c>
      <c r="L5" s="1" t="s">
        <v>3</v>
      </c>
      <c r="M5" s="1" t="s">
        <v>7</v>
      </c>
      <c r="N5" s="1" t="s">
        <v>22</v>
      </c>
      <c r="O5" s="1" t="s">
        <v>23</v>
      </c>
      <c r="P5" s="1" t="s">
        <v>4</v>
      </c>
    </row>
    <row r="6" spans="2:16" x14ac:dyDescent="0.25">
      <c r="B6" s="1" t="s">
        <v>32</v>
      </c>
      <c r="C6" s="3">
        <f ca="1">SUM(INDIRECT("_" &amp; SUBSTITUTE($C$2,"-","_") &amp; "\Expected_Income[Retirement Contributions]"))</f>
        <v>0</v>
      </c>
      <c r="D6" s="3">
        <f ca="1">SUM(INDIRECT("_" &amp; SUBSTITUTE($C$2,"-","_") &amp; "\Actual_Income[Retirement Contributions]"))</f>
        <v>0</v>
      </c>
      <c r="E6" s="14">
        <f t="shared" ca="1" si="0"/>
        <v>0</v>
      </c>
      <c r="I6" s="4"/>
      <c r="J6" s="4"/>
      <c r="K6" s="5"/>
      <c r="L6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6" s="5"/>
      <c r="N6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6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6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7" spans="2:16" x14ac:dyDescent="0.25">
      <c r="B7" s="1" t="s">
        <v>45</v>
      </c>
      <c r="C7" s="14">
        <f ca="1">SUM(INDIRECT("_" &amp; SUBSTITUTE($C$2,"-","_") &amp; "\Expected_Income[Healthcare Deductions]"))</f>
        <v>0</v>
      </c>
      <c r="D7" s="14">
        <f ca="1">SUM(INDIRECT("_" &amp; SUBSTITUTE($C$2,"-","_") &amp; "\Actual_Income[Healthcare Deductions]"))</f>
        <v>0</v>
      </c>
      <c r="E7" s="14">
        <f t="shared" ca="1" si="0"/>
        <v>0</v>
      </c>
      <c r="I7" s="4"/>
      <c r="J7" s="4"/>
      <c r="K7" s="5"/>
      <c r="L7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7" s="5"/>
      <c r="N7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7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7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8" spans="2:16" x14ac:dyDescent="0.25">
      <c r="B8" s="1" t="s">
        <v>44</v>
      </c>
      <c r="C8" s="14">
        <f ca="1">SUM(INDIRECT("_" &amp; SUBSTITUTE($C$2,"-","_") &amp; "\Expected_Income[Other Payroll Deductions]"))</f>
        <v>0</v>
      </c>
      <c r="D8" s="14">
        <f ca="1">SUM(INDIRECT("_" &amp; SUBSTITUTE($C$2,"-","_") &amp; "\Actual_Income[Other Payroll Deductions]"))</f>
        <v>0</v>
      </c>
      <c r="E8" s="14">
        <f t="shared" ca="1" si="0"/>
        <v>0</v>
      </c>
      <c r="I8" s="4"/>
      <c r="J8" s="4"/>
      <c r="K8" s="5"/>
      <c r="L8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8" s="5"/>
      <c r="N8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8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8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9" spans="2:16" x14ac:dyDescent="0.25">
      <c r="B9" s="1" t="s">
        <v>33</v>
      </c>
      <c r="C9" s="14">
        <f ca="1">SUM(INDIRECT("_" &amp; SUBSTITUTE($C$2,"-","_") &amp; "\Expected_Income[Taxes]"))</f>
        <v>0</v>
      </c>
      <c r="D9" s="3">
        <f ca="1">SUM(INDIRECT("_" &amp; SUBSTITUTE($C$2,"-","_") &amp; "\Actual_Income[Taxes]"))</f>
        <v>0</v>
      </c>
      <c r="E9" s="14">
        <f t="shared" ca="1" si="0"/>
        <v>0</v>
      </c>
      <c r="I9" s="4"/>
      <c r="J9" s="4"/>
      <c r="K9" s="5"/>
      <c r="L9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9" s="5"/>
      <c r="N9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9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9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0" spans="2:16" x14ac:dyDescent="0.25">
      <c r="B10" s="1" t="s">
        <v>34</v>
      </c>
      <c r="C10" s="14">
        <f ca="1">SUM(INDIRECT("_" &amp; SUBSTITUTE($C$2,"-","_") &amp; "\Expected_Income[Net Income]"))</f>
        <v>0</v>
      </c>
      <c r="D10" s="3">
        <f ca="1">SUM(INDIRECT("_" &amp; SUBSTITUTE($C$2,"-","_") &amp; "\Actual_Income[Net Income]"))</f>
        <v>0</v>
      </c>
      <c r="E10" s="14">
        <f t="shared" ca="1" si="0"/>
        <v>0</v>
      </c>
      <c r="I10" s="4"/>
      <c r="J10" s="4"/>
      <c r="K10" s="5"/>
      <c r="L10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0" s="5"/>
      <c r="N10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0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0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1" spans="2:16" x14ac:dyDescent="0.25">
      <c r="I11" s="4"/>
      <c r="J11" s="4"/>
      <c r="K11" s="5"/>
      <c r="L11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1" s="5"/>
      <c r="N11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1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1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2" spans="2:16" x14ac:dyDescent="0.25">
      <c r="C12" s="1" t="s">
        <v>43</v>
      </c>
      <c r="D12" s="1" t="s">
        <v>36</v>
      </c>
      <c r="E12" s="1" t="s">
        <v>37</v>
      </c>
      <c r="I12" s="4"/>
      <c r="J12" s="4"/>
      <c r="K12" s="5"/>
      <c r="L12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2" s="5"/>
      <c r="N12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2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2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3" spans="2:16" x14ac:dyDescent="0.25">
      <c r="B13" s="1" t="s">
        <v>41</v>
      </c>
      <c r="C13" s="14">
        <f ca="1">SUM(INDIRECT("_" &amp; SUBSTITUTE($C$2,"-","_") &amp; "\Budgets[Amount]"))</f>
        <v>0</v>
      </c>
      <c r="D13" s="14">
        <f ca="1">SUM(INDIRECT("_" &amp; SUBSTITUTE($C$2,"-","_") &amp; "\Budgets[Total Debits]"))</f>
        <v>0</v>
      </c>
      <c r="E13" s="14">
        <f ca="1">D13-C13</f>
        <v>0</v>
      </c>
      <c r="I13" s="4"/>
      <c r="J13" s="4"/>
      <c r="K13" s="5"/>
      <c r="L13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3" s="5"/>
      <c r="N13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3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3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4" spans="2:16" x14ac:dyDescent="0.25">
      <c r="B14" s="1" t="s">
        <v>42</v>
      </c>
      <c r="C14" s="14">
        <f ca="1">SUM(INDIRECT("_" &amp; SUBSTITUTE($C$2,"-","_") &amp; "\Saving_Budgets[Amount]"))</f>
        <v>0</v>
      </c>
      <c r="D14" s="14" cm="1">
        <f t="array" aca="1" ref="D14" ca="1">SUM(INDIRECT("_" &amp; SUBSTITUTE($C$2,"-","_") &amp; "\Saving_Budgets[Total Credits]") - INDIRECT("_" &amp; SUBSTITUTE($C$2,"-","_") &amp; "\Saving_Budgets[Total Debits]"))</f>
        <v>0</v>
      </c>
      <c r="E14" s="14">
        <f ca="1">D14-C14</f>
        <v>0</v>
      </c>
      <c r="I14" s="4"/>
      <c r="J14" s="4"/>
      <c r="K14" s="5"/>
      <c r="L14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4" s="5"/>
      <c r="N14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4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4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5" spans="2:16" x14ac:dyDescent="0.25">
      <c r="B15" s="1" t="s">
        <v>47</v>
      </c>
      <c r="C15" s="14">
        <f ca="1">C13+C14</f>
        <v>0</v>
      </c>
      <c r="D15" s="14"/>
      <c r="E15" s="14"/>
      <c r="I15" s="4"/>
      <c r="J15" s="4"/>
      <c r="K15" s="5"/>
      <c r="L15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5" s="5"/>
      <c r="N15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5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5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6" spans="2:16" x14ac:dyDescent="0.25">
      <c r="B16" s="1" t="s">
        <v>46</v>
      </c>
      <c r="C16" s="14">
        <f ca="1">C10-C13-C14</f>
        <v>0</v>
      </c>
      <c r="D16" s="14"/>
      <c r="E16" s="14"/>
      <c r="I16" s="4"/>
      <c r="J16" s="4"/>
      <c r="K16" s="5"/>
      <c r="L16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6" s="5"/>
      <c r="N16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6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6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7" spans="2:16" x14ac:dyDescent="0.25">
      <c r="I17" s="4"/>
      <c r="J17" s="4"/>
      <c r="K17" s="5"/>
      <c r="L17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7" s="5"/>
      <c r="N17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7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7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8" spans="2:16" ht="23.25" x14ac:dyDescent="0.35">
      <c r="B18" s="2" t="s">
        <v>8</v>
      </c>
      <c r="I18" s="4"/>
      <c r="J18" s="4"/>
      <c r="K18" s="5"/>
      <c r="L18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8" s="5"/>
      <c r="N18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8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8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19" spans="2:16" x14ac:dyDescent="0.25">
      <c r="B19" s="1" t="s">
        <v>9</v>
      </c>
      <c r="C19" s="1" t="s">
        <v>10</v>
      </c>
      <c r="D19" s="1" t="s">
        <v>11</v>
      </c>
      <c r="E19" s="1" t="s">
        <v>12</v>
      </c>
      <c r="F19" s="1" t="s">
        <v>1</v>
      </c>
      <c r="G19" s="1" t="s">
        <v>2</v>
      </c>
      <c r="I19" s="7"/>
      <c r="J19" s="7"/>
      <c r="K19" s="9"/>
      <c r="L19" s="19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19" s="9"/>
      <c r="N19" s="13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19" s="13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19" s="13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20" spans="2:16" x14ac:dyDescent="0.25">
      <c r="B20" s="6"/>
      <c r="C20" s="4"/>
      <c r="D20" s="4"/>
      <c r="E20" s="4"/>
      <c r="F20" s="4"/>
      <c r="G20" s="10"/>
      <c r="I20" s="4"/>
      <c r="J20" s="4"/>
      <c r="K20" s="5"/>
      <c r="L20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20" s="5"/>
      <c r="N20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20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20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21" spans="2:16" x14ac:dyDescent="0.25">
      <c r="B21" s="6"/>
      <c r="C21" s="4"/>
      <c r="D21" s="4"/>
      <c r="E21" s="4"/>
      <c r="F21" s="4"/>
      <c r="G21" s="10"/>
      <c r="I21" s="4"/>
      <c r="J21" s="4"/>
      <c r="K21" s="5"/>
      <c r="L21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21" s="5"/>
      <c r="N21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21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21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22" spans="2:16" x14ac:dyDescent="0.25">
      <c r="B22" s="6"/>
      <c r="C22" s="4"/>
      <c r="D22" s="4"/>
      <c r="E22" s="4"/>
      <c r="F22" s="4"/>
      <c r="G22" s="10"/>
      <c r="I22" s="4"/>
      <c r="J22" s="4"/>
      <c r="K22" s="5"/>
      <c r="L22" s="18" t="str">
        <f ca="1">IF(_2023_12\Budgets[[#This Row],[Type]]&lt;&gt;"Rolling", "", IF(NOT(ISBLANK(_2023_12\Budgets[[#This Row],[Override Rollover Amount]])), _2023_12\Budgets[[#This Row],[Override Rollover Amount]], SUMIF(INDIRECT("_" &amp; SUBSTITUTE($E$2,"-","_") &amp; "\Budgets[Name]"),_2023_12\Budgets[[#This Row],[Name]],INDIRECT("_" &amp; SUBSTITUTE($E$2,"-","_") &amp; "\Budgets[Remaining Budget]"))))</f>
        <v/>
      </c>
      <c r="M22" s="5"/>
      <c r="N22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"\Transactions[Type]"),"Debit")</f>
        <v>0</v>
      </c>
      <c r="O22" s="11">
        <f ca="1">SUMIFS(INDIRECT("_" &amp; SUBSTITUTE($C$2,"-","_") &amp; "\Transactions[Amount]"), INDIRECT("_" &amp; SUBSTITUTE($C$2,"-","_") &amp; "\Transactions[Category]"),_2023_12\Budgets[[#This Row],[Name]], INDIRECT("_" &amp; SUBSTITUTE($C$2,"-","_") &amp; "\Transactions[Type]"),"Credit")</f>
        <v>0</v>
      </c>
      <c r="P22" s="11">
        <f ca="1">_2023_12\Budgets[[#This Row],[Amount]]+IF(NOT(_2023_12\Budgets[[#This Row],[Rollover From Last Month]]=""),_2023_12\Budgets[[#This Row],[Rollover From Last Month]],0)-_2023_12\Budgets[[#This Row],[Total Debits]]+_2023_12\Budgets[[#This Row],[Total Credits]]</f>
        <v>0</v>
      </c>
    </row>
    <row r="23" spans="2:16" x14ac:dyDescent="0.25">
      <c r="B23" s="6"/>
      <c r="C23" s="4"/>
      <c r="D23" s="4"/>
      <c r="E23" s="4"/>
      <c r="F23" s="4"/>
      <c r="G23" s="10"/>
    </row>
    <row r="24" spans="2:16" ht="23.25" x14ac:dyDescent="0.35">
      <c r="B24" s="6"/>
      <c r="C24" s="4"/>
      <c r="D24" s="4"/>
      <c r="E24" s="4"/>
      <c r="F24" s="4"/>
      <c r="G24" s="10"/>
      <c r="I24" s="2" t="s">
        <v>51</v>
      </c>
    </row>
    <row r="25" spans="2:16" x14ac:dyDescent="0.25">
      <c r="B25" s="6"/>
      <c r="C25" s="4"/>
      <c r="D25" s="4"/>
      <c r="E25" s="4"/>
      <c r="F25" s="4"/>
      <c r="G25" s="10"/>
      <c r="I25" s="1" t="s">
        <v>5</v>
      </c>
      <c r="J25" s="1" t="s">
        <v>2</v>
      </c>
      <c r="K25" s="1" t="s">
        <v>22</v>
      </c>
      <c r="L25" s="1" t="s">
        <v>23</v>
      </c>
      <c r="M25" s="1" t="s">
        <v>4</v>
      </c>
    </row>
    <row r="26" spans="2:16" x14ac:dyDescent="0.25">
      <c r="B26" s="6"/>
      <c r="C26" s="4"/>
      <c r="D26" s="4"/>
      <c r="E26" s="4"/>
      <c r="F26" s="4"/>
      <c r="G26" s="10"/>
      <c r="I26" s="4"/>
      <c r="J26" s="10"/>
      <c r="K26" s="11">
        <f ca="1">SUMIFS(INDIRECT("_" &amp; SUBSTITUTE($C$2,"-","_") &amp; "\Transactions[Amount]"), INDIRECT("_" &amp; SUBSTITUTE($C$2,"-","_") &amp; "\Transactions[Category]"),_2023_12\Saving_Budgets[[#This Row],[Name]], INDIRECT("_" &amp; SUBSTITUTE($C$2,"-","_") &amp; "\Transactions[Type]"),"Debit")</f>
        <v>0</v>
      </c>
      <c r="L26" s="11">
        <f ca="1">SUMIFS(INDIRECT("_" &amp; SUBSTITUTE($C$2,"-","_") &amp; "\Transactions[Amount]"), INDIRECT("_" &amp; SUBSTITUTE($C$2,"-","_") &amp; "\Transactions[Category]"),_2023_12\Saving_Budgets[[#This Row],[Name]], INDIRECT("_" &amp; SUBSTITUTE($C$2,"-","_") &amp; "\Transactions[Type]"),"Credit")</f>
        <v>0</v>
      </c>
      <c r="M26" s="11">
        <f ca="1">_2023_12\Saving_Budgets[[#This Row],[Amount]]+_2023_12\Saving_Budgets[[#This Row],[Total Debits]]-_2023_12\Saving_Budgets[[#This Row],[Total Credits]]</f>
        <v>0</v>
      </c>
    </row>
    <row r="27" spans="2:16" x14ac:dyDescent="0.25">
      <c r="B27" s="6"/>
      <c r="C27" s="4"/>
      <c r="D27" s="4"/>
      <c r="E27" s="4"/>
      <c r="F27" s="4"/>
      <c r="G27" s="10"/>
      <c r="I27" s="4"/>
      <c r="J27" s="10"/>
      <c r="K27" s="11">
        <f ca="1">SUMIFS(INDIRECT("_" &amp; SUBSTITUTE($C$2,"-","_") &amp; "\Transactions[Amount]"), INDIRECT("_" &amp; SUBSTITUTE($C$2,"-","_") &amp; "\Transactions[Category]"),_2023_12\Saving_Budgets[[#This Row],[Name]], INDIRECT("_" &amp; SUBSTITUTE($C$2,"-","_") &amp; "\Transactions[Type]"),"Debit")</f>
        <v>0</v>
      </c>
      <c r="L27" s="11">
        <f ca="1">SUMIFS(INDIRECT("_" &amp; SUBSTITUTE($C$2,"-","_") &amp; "\Transactions[Amount]"), INDIRECT("_" &amp; SUBSTITUTE($C$2,"-","_") &amp; "\Transactions[Category]"),_2023_12\Saving_Budgets[[#This Row],[Name]], INDIRECT("_" &amp; SUBSTITUTE($C$2,"-","_") &amp; "\Transactions[Type]"),"Credit")</f>
        <v>0</v>
      </c>
      <c r="M27" s="11">
        <f ca="1">_2023_12\Saving_Budgets[[#This Row],[Amount]]+_2023_12\Saving_Budgets[[#This Row],[Total Debits]]-_2023_12\Saving_Budgets[[#This Row],[Total Credits]]</f>
        <v>0</v>
      </c>
    </row>
    <row r="28" spans="2:16" x14ac:dyDescent="0.25">
      <c r="B28" s="6"/>
      <c r="C28" s="4"/>
      <c r="D28" s="4"/>
      <c r="E28" s="4"/>
      <c r="F28" s="4"/>
      <c r="G28" s="10"/>
      <c r="I28" s="4"/>
      <c r="J28" s="10"/>
      <c r="K28" s="11">
        <f ca="1">SUMIFS(INDIRECT("_" &amp; SUBSTITUTE($C$2,"-","_") &amp; "\Transactions[Amount]"), INDIRECT("_" &amp; SUBSTITUTE($C$2,"-","_") &amp; "\Transactions[Category]"),_2023_12\Saving_Budgets[[#This Row],[Name]], INDIRECT("_" &amp; SUBSTITUTE($C$2,"-","_") &amp; "\Transactions[Type]"),"Debit")</f>
        <v>0</v>
      </c>
      <c r="L28" s="11">
        <f ca="1">SUMIFS(INDIRECT("_" &amp; SUBSTITUTE($C$2,"-","_") &amp; "\Transactions[Amount]"), INDIRECT("_" &amp; SUBSTITUTE($C$2,"-","_") &amp; "\Transactions[Category]"),_2023_12\Saving_Budgets[[#This Row],[Name]], INDIRECT("_" &amp; SUBSTITUTE($C$2,"-","_") &amp; "\Transactions[Type]"),"Credit")</f>
        <v>0</v>
      </c>
      <c r="M28" s="11">
        <f ca="1">_2023_12\Saving_Budgets[[#This Row],[Amount]]+_2023_12\Saving_Budgets[[#This Row],[Total Debits]]-_2023_12\Saving_Budgets[[#This Row],[Total Credits]]</f>
        <v>0</v>
      </c>
    </row>
    <row r="29" spans="2:16" x14ac:dyDescent="0.25">
      <c r="B29" s="6"/>
      <c r="C29" s="4"/>
      <c r="D29" s="4"/>
      <c r="E29" s="4"/>
      <c r="F29" s="4"/>
      <c r="G29" s="10"/>
    </row>
    <row r="30" spans="2:16" ht="23.25" x14ac:dyDescent="0.35">
      <c r="B30" s="6"/>
      <c r="C30" s="4"/>
      <c r="D30" s="4"/>
      <c r="E30" s="4"/>
      <c r="F30" s="4"/>
      <c r="G30" s="10"/>
      <c r="I30" s="2" t="s">
        <v>20</v>
      </c>
    </row>
    <row r="31" spans="2:16" x14ac:dyDescent="0.25">
      <c r="B31" s="6"/>
      <c r="C31" s="4"/>
      <c r="D31" s="4"/>
      <c r="E31" s="4"/>
      <c r="F31" s="4"/>
      <c r="G31" s="10"/>
      <c r="I31" s="1" t="s">
        <v>5</v>
      </c>
      <c r="J31" s="1" t="s">
        <v>12</v>
      </c>
      <c r="K31" s="1" t="s">
        <v>15</v>
      </c>
      <c r="L31" s="1" t="s">
        <v>16</v>
      </c>
      <c r="M31" s="1" t="s">
        <v>17</v>
      </c>
      <c r="N31" s="1" t="s">
        <v>18</v>
      </c>
      <c r="O31" s="1" t="s">
        <v>19</v>
      </c>
    </row>
    <row r="32" spans="2:16" x14ac:dyDescent="0.25">
      <c r="B32" s="6"/>
      <c r="C32" s="4"/>
      <c r="D32" s="4"/>
      <c r="E32" s="4"/>
      <c r="F32" s="4"/>
      <c r="G32" s="10"/>
      <c r="I32" s="4"/>
      <c r="J32" s="4"/>
      <c r="K32" s="5"/>
      <c r="L32" s="5"/>
      <c r="M32" s="5"/>
      <c r="N32" s="5"/>
      <c r="O32" s="5"/>
    </row>
    <row r="33" spans="2:15" x14ac:dyDescent="0.25">
      <c r="B33" s="6"/>
      <c r="C33" s="4"/>
      <c r="D33" s="4"/>
      <c r="E33" s="4"/>
      <c r="F33" s="4"/>
      <c r="G33" s="10"/>
      <c r="I33" s="4"/>
      <c r="J33" s="4"/>
      <c r="K33" s="5"/>
      <c r="L33" s="5"/>
      <c r="M33" s="5"/>
      <c r="N33" s="5"/>
      <c r="O33" s="5"/>
    </row>
    <row r="34" spans="2:15" x14ac:dyDescent="0.25">
      <c r="B34" s="6"/>
      <c r="C34" s="4"/>
      <c r="D34" s="4"/>
      <c r="E34" s="4"/>
      <c r="F34" s="4"/>
      <c r="G34" s="10"/>
      <c r="I34" s="4"/>
      <c r="J34" s="4"/>
      <c r="K34" s="5"/>
      <c r="L34" s="5"/>
      <c r="M34" s="5"/>
      <c r="N34" s="5"/>
      <c r="O34" s="5"/>
    </row>
    <row r="35" spans="2:15" x14ac:dyDescent="0.25">
      <c r="B35" s="6"/>
      <c r="C35" s="4"/>
      <c r="D35" s="4"/>
      <c r="E35" s="4"/>
      <c r="F35" s="4"/>
      <c r="G35" s="10"/>
      <c r="I35" s="4"/>
      <c r="J35" s="4"/>
      <c r="K35" s="5"/>
      <c r="L35" s="5"/>
      <c r="M35" s="5"/>
      <c r="N35" s="5"/>
      <c r="O35" s="5"/>
    </row>
    <row r="36" spans="2:15" x14ac:dyDescent="0.25">
      <c r="B36" s="6"/>
      <c r="C36" s="4"/>
      <c r="D36" s="4"/>
      <c r="E36" s="4"/>
      <c r="F36" s="4"/>
      <c r="G36" s="10"/>
      <c r="I36" s="4"/>
      <c r="J36" s="4"/>
      <c r="K36" s="5"/>
      <c r="L36" s="5"/>
      <c r="M36" s="5"/>
      <c r="N36" s="5"/>
      <c r="O36" s="5"/>
    </row>
    <row r="37" spans="2:15" x14ac:dyDescent="0.25">
      <c r="B37" s="6"/>
      <c r="C37" s="4"/>
      <c r="D37" s="4"/>
      <c r="E37" s="4"/>
      <c r="F37" s="4"/>
      <c r="G37" s="10"/>
      <c r="I37" s="4"/>
      <c r="J37" s="4"/>
      <c r="K37" s="5"/>
      <c r="L37" s="5"/>
      <c r="M37" s="5"/>
      <c r="N37" s="5"/>
      <c r="O37" s="5"/>
    </row>
    <row r="38" spans="2:15" x14ac:dyDescent="0.25">
      <c r="B38" s="6"/>
      <c r="C38" s="4"/>
      <c r="D38" s="4"/>
      <c r="E38" s="4"/>
      <c r="F38" s="4"/>
      <c r="G38" s="10"/>
      <c r="I38" s="4"/>
      <c r="J38" s="4"/>
      <c r="K38" s="5"/>
      <c r="L38" s="5"/>
      <c r="M38" s="5"/>
      <c r="N38" s="5"/>
      <c r="O38" s="5"/>
    </row>
    <row r="39" spans="2:15" x14ac:dyDescent="0.25">
      <c r="B39" s="6"/>
      <c r="C39" s="4"/>
      <c r="D39" s="4"/>
      <c r="E39" s="4"/>
      <c r="F39" s="4"/>
      <c r="G39" s="10"/>
      <c r="I39" s="4"/>
      <c r="J39" s="4"/>
      <c r="K39" s="5"/>
      <c r="L39" s="5"/>
      <c r="M39" s="5"/>
      <c r="N39" s="5"/>
      <c r="O39" s="5"/>
    </row>
    <row r="40" spans="2:15" x14ac:dyDescent="0.25">
      <c r="B40" s="6"/>
      <c r="C40" s="4"/>
      <c r="D40" s="4"/>
      <c r="E40" s="4"/>
      <c r="F40" s="4"/>
      <c r="G40" s="10"/>
      <c r="I40" s="7"/>
      <c r="J40" s="7"/>
      <c r="K40" s="9"/>
      <c r="L40" s="9"/>
      <c r="M40" s="9"/>
      <c r="N40" s="9"/>
      <c r="O40" s="9"/>
    </row>
    <row r="41" spans="2:15" x14ac:dyDescent="0.25">
      <c r="B41" s="6"/>
      <c r="C41" s="4"/>
      <c r="D41" s="4"/>
      <c r="E41" s="4"/>
      <c r="F41" s="4"/>
      <c r="G41" s="10"/>
      <c r="I41" s="7"/>
      <c r="J41" s="7"/>
      <c r="K41" s="9"/>
      <c r="L41" s="9"/>
      <c r="M41" s="9"/>
      <c r="N41" s="9"/>
      <c r="O41" s="9"/>
    </row>
    <row r="42" spans="2:15" x14ac:dyDescent="0.25">
      <c r="B42" s="6"/>
      <c r="C42" s="4"/>
      <c r="D42" s="4"/>
      <c r="E42" s="4"/>
      <c r="F42" s="4"/>
      <c r="G42" s="10"/>
      <c r="I42" s="7"/>
      <c r="J42" s="7"/>
      <c r="K42" s="9"/>
      <c r="L42" s="9"/>
      <c r="M42" s="9"/>
      <c r="N42" s="9"/>
      <c r="O42" s="9"/>
    </row>
    <row r="43" spans="2:15" x14ac:dyDescent="0.25">
      <c r="B43" s="6"/>
      <c r="C43" s="4"/>
      <c r="D43" s="4"/>
      <c r="E43" s="4"/>
      <c r="F43" s="4"/>
      <c r="G43" s="10"/>
      <c r="I43" s="7"/>
      <c r="J43" s="7"/>
      <c r="K43" s="9"/>
      <c r="L43" s="9"/>
      <c r="M43" s="9"/>
      <c r="N43" s="9"/>
      <c r="O43" s="9"/>
    </row>
    <row r="44" spans="2:15" x14ac:dyDescent="0.25">
      <c r="B44" s="6"/>
      <c r="C44" s="4"/>
      <c r="D44" s="4"/>
      <c r="E44" s="4"/>
      <c r="F44" s="4"/>
      <c r="G44" s="10"/>
      <c r="I44" s="7"/>
      <c r="J44" s="7"/>
      <c r="K44" s="9"/>
      <c r="L44" s="9"/>
      <c r="M44" s="9"/>
      <c r="N44" s="9"/>
      <c r="O44" s="9"/>
    </row>
    <row r="45" spans="2:15" x14ac:dyDescent="0.25">
      <c r="B45" s="6"/>
      <c r="C45" s="4"/>
      <c r="D45" s="4"/>
      <c r="E45" s="4"/>
      <c r="F45" s="4"/>
      <c r="G45" s="10"/>
      <c r="I45" s="4"/>
      <c r="J45" s="4"/>
      <c r="K45" s="5"/>
      <c r="L45" s="5"/>
      <c r="M45" s="5"/>
      <c r="N45" s="5"/>
      <c r="O45" s="5"/>
    </row>
    <row r="46" spans="2:15" x14ac:dyDescent="0.25">
      <c r="B46" s="6"/>
      <c r="C46" s="4"/>
      <c r="D46" s="4"/>
      <c r="E46" s="4"/>
      <c r="F46" s="4"/>
      <c r="G46" s="10"/>
      <c r="I46" s="4"/>
      <c r="J46" s="4"/>
      <c r="K46" s="9"/>
      <c r="L46" s="5"/>
      <c r="M46" s="5"/>
      <c r="N46" s="5"/>
      <c r="O46" s="5"/>
    </row>
    <row r="47" spans="2:15" x14ac:dyDescent="0.25">
      <c r="B47" s="6"/>
      <c r="C47" s="4"/>
      <c r="D47" s="4"/>
      <c r="E47" s="4"/>
      <c r="F47" s="4"/>
      <c r="G47" s="10"/>
      <c r="I47" s="4"/>
      <c r="J47" s="4"/>
      <c r="K47" s="9"/>
      <c r="L47" s="5"/>
      <c r="M47" s="5"/>
      <c r="N47" s="5"/>
      <c r="O47" s="5"/>
    </row>
    <row r="48" spans="2:15" x14ac:dyDescent="0.25">
      <c r="B48" s="6"/>
      <c r="C48" s="4"/>
      <c r="D48" s="4"/>
      <c r="E48" s="4"/>
      <c r="F48" s="4"/>
      <c r="G48" s="10"/>
    </row>
    <row r="49" spans="2:18" ht="23.25" x14ac:dyDescent="0.35">
      <c r="B49" s="6"/>
      <c r="C49" s="4"/>
      <c r="D49" s="4"/>
      <c r="E49" s="4"/>
      <c r="F49" s="4"/>
      <c r="G49" s="10"/>
      <c r="I49" s="2" t="s">
        <v>40</v>
      </c>
    </row>
    <row r="50" spans="2:18" x14ac:dyDescent="0.25">
      <c r="B50" s="6"/>
      <c r="C50" s="4"/>
      <c r="D50" s="4"/>
      <c r="E50" s="4"/>
      <c r="F50" s="4"/>
      <c r="G50" s="10"/>
      <c r="J50" s="1" t="s">
        <v>48</v>
      </c>
      <c r="K50" s="1" t="s">
        <v>49</v>
      </c>
      <c r="L50" s="1" t="s">
        <v>24</v>
      </c>
      <c r="M50" s="1" t="s">
        <v>50</v>
      </c>
      <c r="N50" s="1" t="s">
        <v>27</v>
      </c>
      <c r="O50" s="1" t="s">
        <v>52</v>
      </c>
      <c r="P50" s="1" t="s">
        <v>25</v>
      </c>
    </row>
    <row r="51" spans="2:18" x14ac:dyDescent="0.25">
      <c r="B51" s="6"/>
      <c r="C51" s="4"/>
      <c r="D51" s="4"/>
      <c r="E51" s="4"/>
      <c r="F51" s="4"/>
      <c r="G51" s="10"/>
      <c r="I51" s="1" t="s">
        <v>38</v>
      </c>
      <c r="J51" s="10"/>
      <c r="K51" s="10"/>
      <c r="L51" s="21"/>
      <c r="M51" s="21"/>
      <c r="N51" s="10"/>
      <c r="O51" s="10"/>
      <c r="P51" s="10"/>
    </row>
    <row r="52" spans="2:18" x14ac:dyDescent="0.25">
      <c r="B52" s="6"/>
      <c r="C52" s="4"/>
      <c r="D52" s="4"/>
      <c r="E52" s="4"/>
      <c r="F52" s="4"/>
      <c r="G52" s="10"/>
      <c r="I52" s="1" t="s">
        <v>39</v>
      </c>
      <c r="J52" s="10"/>
      <c r="K52" s="10"/>
      <c r="L52" s="21"/>
      <c r="M52" s="22"/>
      <c r="N52" s="10"/>
      <c r="O52" s="10"/>
      <c r="P52" s="10"/>
    </row>
    <row r="53" spans="2:18" x14ac:dyDescent="0.25">
      <c r="B53" s="6"/>
      <c r="C53" s="4"/>
      <c r="D53" s="4"/>
      <c r="E53" s="4"/>
      <c r="F53" s="4"/>
      <c r="G53" s="10"/>
      <c r="I53" s="1"/>
    </row>
    <row r="54" spans="2:18" ht="23.25" x14ac:dyDescent="0.35">
      <c r="B54" s="6"/>
      <c r="C54" s="4"/>
      <c r="D54" s="4"/>
      <c r="E54" s="4"/>
      <c r="F54" s="4"/>
      <c r="G54" s="10"/>
      <c r="I54" s="2" t="s">
        <v>29</v>
      </c>
    </row>
    <row r="55" spans="2:18" x14ac:dyDescent="0.25">
      <c r="B55" s="6"/>
      <c r="C55" s="4"/>
      <c r="D55" s="4"/>
      <c r="E55" s="4"/>
      <c r="F55" s="4"/>
      <c r="G55" s="10"/>
      <c r="I55" s="1" t="s">
        <v>9</v>
      </c>
      <c r="J55" s="1" t="s">
        <v>21</v>
      </c>
      <c r="K55" s="1" t="s">
        <v>48</v>
      </c>
      <c r="L55" s="1" t="s">
        <v>49</v>
      </c>
      <c r="M55" s="1" t="s">
        <v>24</v>
      </c>
      <c r="N55" s="1" t="s">
        <v>50</v>
      </c>
      <c r="O55" s="1" t="s">
        <v>27</v>
      </c>
      <c r="P55" s="1" t="s">
        <v>25</v>
      </c>
      <c r="Q55" s="1" t="s">
        <v>28</v>
      </c>
      <c r="R55" s="1" t="s">
        <v>26</v>
      </c>
    </row>
    <row r="56" spans="2:18" x14ac:dyDescent="0.25">
      <c r="B56" s="6"/>
      <c r="C56" s="4"/>
      <c r="D56" s="4"/>
      <c r="E56" s="4"/>
      <c r="F56" s="4"/>
      <c r="G56" s="10"/>
      <c r="I56" s="6"/>
      <c r="J56" s="4"/>
      <c r="K56" s="15" t="str">
        <f>IF(_2023_12\Expected_Income[[#This Row],[Source]]="Advantage",$J$51,IF(_2023_12\Expected_Income[[#This Row],[Source]]="Saline", $J$52, " "))</f>
        <v xml:space="preserve"> </v>
      </c>
      <c r="L56" s="15" t="str">
        <f>IF(_2023_12\Expected_Income[[#This Row],[Source]]="Advantage",$K$51,IF(_2023_12\Expected_Income[[#This Row],[Source]]="Saline", $K$52, " "))</f>
        <v xml:space="preserve"> </v>
      </c>
      <c r="M56" s="15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56" s="15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56" s="16" t="str">
        <f>IF(_2023_12\Expected_Income[[#This Row],[Source]]="Advantage",$N$51,IF(_2023_12\Expected_Income[[#This Row],[Source]]="Saline", $N$52, " "))</f>
        <v xml:space="preserve"> </v>
      </c>
      <c r="P56" s="15" t="str">
        <f>IF(_2023_12\Expected_Income[[#This Row],[Source]]="Advantage",$P$51,IF(_2023_12\Expected_Income[[#This Row],[Source]]="Saline", $P$52, " "))</f>
        <v xml:space="preserve"> </v>
      </c>
      <c r="Q56" s="15" t="str">
        <f>IF(_2023_12\Expected_Income[[#This Row],[Source]]="Advantage",$O$51,IF(_2023_12\Expected_Income[[#This Row],[Source]]="Saline", $O$52, " "))</f>
        <v xml:space="preserve"> </v>
      </c>
      <c r="R56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7" spans="2:18" x14ac:dyDescent="0.25">
      <c r="B57" s="6"/>
      <c r="C57" s="4"/>
      <c r="D57" s="4"/>
      <c r="E57" s="4"/>
      <c r="F57" s="4"/>
      <c r="G57" s="10"/>
      <c r="I57" s="6"/>
      <c r="J57" s="4"/>
      <c r="K57" s="15" t="str">
        <f>IF(_2023_12\Expected_Income[[#This Row],[Source]]="Advantage",$J$51,IF(_2023_12\Expected_Income[[#This Row],[Source]]="Saline", $J$52, " "))</f>
        <v xml:space="preserve"> </v>
      </c>
      <c r="L57" s="15" t="str">
        <f>IF(_2023_12\Expected_Income[[#This Row],[Source]]="Advantage",$K$51,IF(_2023_12\Expected_Income[[#This Row],[Source]]="Saline", $K$52, " "))</f>
        <v xml:space="preserve"> </v>
      </c>
      <c r="M57" s="15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57" s="15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57" s="16" t="str">
        <f>IF(_2023_12\Expected_Income[[#This Row],[Source]]="Advantage",$N$51,IF(_2023_12\Expected_Income[[#This Row],[Source]]="Saline", $N$52, " "))</f>
        <v xml:space="preserve"> </v>
      </c>
      <c r="P57" s="15" t="str">
        <f>IF(_2023_12\Expected_Income[[#This Row],[Source]]="Advantage",$P$51,IF(_2023_12\Expected_Income[[#This Row],[Source]]="Saline", $P$52, " "))</f>
        <v xml:space="preserve"> </v>
      </c>
      <c r="Q57" s="15" t="str">
        <f>IF(_2023_12\Expected_Income[[#This Row],[Source]]="Advantage",$O$51,IF(_2023_12\Expected_Income[[#This Row],[Source]]="Saline", $O$52, " "))</f>
        <v xml:space="preserve"> </v>
      </c>
      <c r="R57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8" spans="2:18" x14ac:dyDescent="0.25">
      <c r="B58" s="6"/>
      <c r="C58" s="4"/>
      <c r="D58" s="4"/>
      <c r="E58" s="4"/>
      <c r="F58" s="4"/>
      <c r="G58" s="10"/>
      <c r="I58" s="6"/>
      <c r="J58" s="4"/>
      <c r="K58" s="15" t="str">
        <f>IF(_2023_12\Expected_Income[[#This Row],[Source]]="Advantage",$J$51,IF(_2023_12\Expected_Income[[#This Row],[Source]]="Saline", $J$52, " "))</f>
        <v xml:space="preserve"> </v>
      </c>
      <c r="L58" s="15" t="str">
        <f>IF(_2023_12\Expected_Income[[#This Row],[Source]]="Advantage",$K$51,IF(_2023_12\Expected_Income[[#This Row],[Source]]="Saline", $K$52, " "))</f>
        <v xml:space="preserve"> </v>
      </c>
      <c r="M58" s="15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58" s="15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58" s="16" t="str">
        <f>IF(_2023_12\Expected_Income[[#This Row],[Source]]="Advantage",$N$51,IF(_2023_12\Expected_Income[[#This Row],[Source]]="Saline", $N$52, " "))</f>
        <v xml:space="preserve"> </v>
      </c>
      <c r="P58" s="15" t="str">
        <f>IF(_2023_12\Expected_Income[[#This Row],[Source]]="Advantage",$P$51,IF(_2023_12\Expected_Income[[#This Row],[Source]]="Saline", $P$52, " "))</f>
        <v xml:space="preserve"> </v>
      </c>
      <c r="Q58" s="15" t="str">
        <f>IF(_2023_12\Expected_Income[[#This Row],[Source]]="Advantage",$O$51,IF(_2023_12\Expected_Income[[#This Row],[Source]]="Saline", $O$52, " "))</f>
        <v xml:space="preserve"> </v>
      </c>
      <c r="R58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59" spans="2:18" x14ac:dyDescent="0.25">
      <c r="B59" s="6"/>
      <c r="C59" s="4"/>
      <c r="D59" s="4"/>
      <c r="E59" s="4"/>
      <c r="F59" s="4"/>
      <c r="G59" s="10"/>
      <c r="I59" s="6"/>
      <c r="J59" s="4"/>
      <c r="K59" s="15" t="str">
        <f>IF(_2023_12\Expected_Income[[#This Row],[Source]]="Advantage",$J$51,IF(_2023_12\Expected_Income[[#This Row],[Source]]="Saline", $J$52, " "))</f>
        <v xml:space="preserve"> </v>
      </c>
      <c r="L59" s="15" t="str">
        <f>IF(_2023_12\Expected_Income[[#This Row],[Source]]="Advantage",$K$51,IF(_2023_12\Expected_Income[[#This Row],[Source]]="Saline", $K$52, " "))</f>
        <v xml:space="preserve"> </v>
      </c>
      <c r="M59" s="15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59" s="15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59" s="16" t="str">
        <f>IF(_2023_12\Expected_Income[[#This Row],[Source]]="Advantage",$N$51,IF(_2023_12\Expected_Income[[#This Row],[Source]]="Saline", $N$52, " "))</f>
        <v xml:space="preserve"> </v>
      </c>
      <c r="P59" s="15" t="str">
        <f>IF(_2023_12\Expected_Income[[#This Row],[Source]]="Advantage",$P$51,IF(_2023_12\Expected_Income[[#This Row],[Source]]="Saline", $P$52, " "))</f>
        <v xml:space="preserve"> </v>
      </c>
      <c r="Q59" s="15" t="str">
        <f>IF(_2023_12\Expected_Income[[#This Row],[Source]]="Advantage",$O$51,IF(_2023_12\Expected_Income[[#This Row],[Source]]="Saline", $O$52, " "))</f>
        <v xml:space="preserve"> </v>
      </c>
      <c r="R59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60" spans="2:18" x14ac:dyDescent="0.25">
      <c r="B60" s="6"/>
      <c r="C60" s="4"/>
      <c r="D60" s="4"/>
      <c r="E60" s="4"/>
      <c r="F60" s="4"/>
      <c r="G60" s="10"/>
      <c r="I60" s="6"/>
      <c r="J60" s="4"/>
      <c r="K60" s="15" t="str">
        <f>IF(_2023_12\Expected_Income[[#This Row],[Source]]="Advantage",$J$51,IF(_2023_12\Expected_Income[[#This Row],[Source]]="Saline", $J$52, " "))</f>
        <v xml:space="preserve"> </v>
      </c>
      <c r="L60" s="15" t="str">
        <f>IF(_2023_12\Expected_Income[[#This Row],[Source]]="Advantage",$K$51,IF(_2023_12\Expected_Income[[#This Row],[Source]]="Saline", $K$52, " "))</f>
        <v xml:space="preserve"> </v>
      </c>
      <c r="M60" s="15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60" s="15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60" s="16" t="str">
        <f>IF(_2023_12\Expected_Income[[#This Row],[Source]]="Advantage",$N$51,IF(_2023_12\Expected_Income[[#This Row],[Source]]="Saline", $N$52, " "))</f>
        <v xml:space="preserve"> </v>
      </c>
      <c r="P60" s="15" t="str">
        <f>IF(_2023_12\Expected_Income[[#This Row],[Source]]="Advantage",$P$51,IF(_2023_12\Expected_Income[[#This Row],[Source]]="Saline", $P$52, " "))</f>
        <v xml:space="preserve"> </v>
      </c>
      <c r="Q60" s="15" t="str">
        <f>IF(_2023_12\Expected_Income[[#This Row],[Source]]="Advantage",$O$51,IF(_2023_12\Expected_Income[[#This Row],[Source]]="Saline", $O$52, " "))</f>
        <v xml:space="preserve"> </v>
      </c>
      <c r="R60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61" spans="2:18" x14ac:dyDescent="0.25">
      <c r="B61" s="6"/>
      <c r="C61" s="4"/>
      <c r="D61" s="4"/>
      <c r="E61" s="4"/>
      <c r="F61" s="4"/>
      <c r="G61" s="10"/>
      <c r="I61" s="6"/>
      <c r="J61" s="4"/>
      <c r="K61" s="15" t="str">
        <f>IF(_2023_12\Expected_Income[[#This Row],[Source]]="Advantage",$J$51,IF(_2023_12\Expected_Income[[#This Row],[Source]]="Saline", $J$52, " "))</f>
        <v xml:space="preserve"> </v>
      </c>
      <c r="L61" s="15" t="str">
        <f>IF(_2023_12\Expected_Income[[#This Row],[Source]]="Advantage",$K$51,IF(_2023_12\Expected_Income[[#This Row],[Source]]="Saline", $K$52, " "))</f>
        <v xml:space="preserve"> </v>
      </c>
      <c r="M61" s="15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61" s="15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61" s="16" t="str">
        <f>IF(_2023_12\Expected_Income[[#This Row],[Source]]="Advantage",$N$51,IF(_2023_12\Expected_Income[[#This Row],[Source]]="Saline", $N$52, " "))</f>
        <v xml:space="preserve"> </v>
      </c>
      <c r="P61" s="15" t="str">
        <f>IF(_2023_12\Expected_Income[[#This Row],[Source]]="Advantage",$P$51,IF(_2023_12\Expected_Income[[#This Row],[Source]]="Saline", $P$52, " "))</f>
        <v xml:space="preserve"> </v>
      </c>
      <c r="Q61" s="15" t="str">
        <f>IF(_2023_12\Expected_Income[[#This Row],[Source]]="Advantage",$O$51,IF(_2023_12\Expected_Income[[#This Row],[Source]]="Saline", $O$52, " "))</f>
        <v xml:space="preserve"> </v>
      </c>
      <c r="R61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62" spans="2:18" x14ac:dyDescent="0.25">
      <c r="B62" s="6"/>
      <c r="C62" s="4"/>
      <c r="D62" s="4"/>
      <c r="E62" s="4"/>
      <c r="F62" s="4"/>
      <c r="G62" s="10"/>
      <c r="I62" s="6"/>
      <c r="J62" s="4"/>
      <c r="K62" s="15" t="str">
        <f>IF(_2023_12\Expected_Income[[#This Row],[Source]]="Advantage",$J$51,IF(_2023_12\Expected_Income[[#This Row],[Source]]="Saline", $J$52, " "))</f>
        <v xml:space="preserve"> </v>
      </c>
      <c r="L62" s="15" t="str">
        <f>IF(_2023_12\Expected_Income[[#This Row],[Source]]="Advantage",$K$51,IF(_2023_12\Expected_Income[[#This Row],[Source]]="Saline", $K$52, " "))</f>
        <v xml:space="preserve"> </v>
      </c>
      <c r="M62" s="15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62" s="15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62" s="16" t="str">
        <f>IF(_2023_12\Expected_Income[[#This Row],[Source]]="Advantage",$N$51,IF(_2023_12\Expected_Income[[#This Row],[Source]]="Saline", $N$52, " "))</f>
        <v xml:space="preserve"> </v>
      </c>
      <c r="P62" s="15" t="str">
        <f>IF(_2023_12\Expected_Income[[#This Row],[Source]]="Advantage",$P$51,IF(_2023_12\Expected_Income[[#This Row],[Source]]="Saline", $P$52, " "))</f>
        <v xml:space="preserve"> </v>
      </c>
      <c r="Q62" s="15" t="str">
        <f>IF(_2023_12\Expected_Income[[#This Row],[Source]]="Advantage",$O$51,IF(_2023_12\Expected_Income[[#This Row],[Source]]="Saline", $O$52, " "))</f>
        <v xml:space="preserve"> </v>
      </c>
      <c r="R62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63" spans="2:18" x14ac:dyDescent="0.25">
      <c r="B63" s="6"/>
      <c r="C63" s="4"/>
      <c r="D63" s="4"/>
      <c r="E63" s="4"/>
      <c r="F63" s="4"/>
      <c r="G63" s="10"/>
      <c r="I63" s="6"/>
      <c r="J63" s="4"/>
      <c r="K63" s="15" t="str">
        <f>IF(_2023_12\Expected_Income[[#This Row],[Source]]="Advantage",$J$51,IF(_2023_12\Expected_Income[[#This Row],[Source]]="Saline", $J$52, " "))</f>
        <v xml:space="preserve"> </v>
      </c>
      <c r="L63" s="15" t="str">
        <f>IF(_2023_12\Expected_Income[[#This Row],[Source]]="Advantage",$K$51,IF(_2023_12\Expected_Income[[#This Row],[Source]]="Saline", $K$52, " "))</f>
        <v xml:space="preserve"> </v>
      </c>
      <c r="M63" s="15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63" s="15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63" s="16" t="str">
        <f>IF(_2023_12\Expected_Income[[#This Row],[Source]]="Advantage",$N$51,IF(_2023_12\Expected_Income[[#This Row],[Source]]="Saline", $N$52, " "))</f>
        <v xml:space="preserve"> </v>
      </c>
      <c r="P63" s="15" t="str">
        <f>IF(_2023_12\Expected_Income[[#This Row],[Source]]="Advantage",$P$51,IF(_2023_12\Expected_Income[[#This Row],[Source]]="Saline", $P$52, " "))</f>
        <v xml:space="preserve"> </v>
      </c>
      <c r="Q63" s="15" t="str">
        <f>IF(_2023_12\Expected_Income[[#This Row],[Source]]="Advantage",$O$51,IF(_2023_12\Expected_Income[[#This Row],[Source]]="Saline", $O$52, " "))</f>
        <v xml:space="preserve"> </v>
      </c>
      <c r="R63" s="15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64" spans="2:18" x14ac:dyDescent="0.25">
      <c r="B64" s="6"/>
      <c r="C64" s="4"/>
      <c r="D64" s="4"/>
      <c r="E64" s="4"/>
      <c r="F64" s="4"/>
      <c r="G64" s="10"/>
      <c r="I64" s="8"/>
      <c r="J64" s="7"/>
      <c r="K64" s="17" t="str">
        <f>IF(_2023_12\Expected_Income[[#This Row],[Source]]="Advantage",$J$51,IF(_2023_12\Expected_Income[[#This Row],[Source]]="Saline", $J$52, " "))</f>
        <v xml:space="preserve"> </v>
      </c>
      <c r="L64" s="17" t="str">
        <f>IF(_2023_12\Expected_Income[[#This Row],[Source]]="Advantage",$K$51,IF(_2023_12\Expected_Income[[#This Row],[Source]]="Saline", $K$52, " "))</f>
        <v xml:space="preserve"> </v>
      </c>
      <c r="M64" s="17" t="str">
        <f>IF(_2023_12\Expected_Income[[#This Row],[Source]]="Advantage",(_2023_12\Expected_Income[[#This Row],[Salary Income]]+_2023_12\Expected_Income[[#This Row],[Additional Taxable Income]])*$L$51,IF(_2023_12\Expected_Income[[#This Row],[Source]]="Saline", (_2023_12\Expected_Income[[#This Row],[Salary Income]]+_2023_12\Expected_Income[[#This Row],[Additional Taxable Income]])*$L$52, " "))</f>
        <v xml:space="preserve"> </v>
      </c>
      <c r="N64" s="17" t="str">
        <f>IF(_2023_12\Expected_Income[[#This Row],[Source]]="Advantage",_2023_12\Expected_Income[[#This Row],[Salary Income]]*$M$51,IF(_2023_12\Expected_Income[[#This Row],[Source]]="Saline", _2023_12\Expected_Income[[#This Row],[Salary Income]]*$M$52, " "))</f>
        <v xml:space="preserve"> </v>
      </c>
      <c r="O64" s="20" t="str">
        <f>IF(_2023_12\Expected_Income[[#This Row],[Source]]="Advantage",$N$51,IF(_2023_12\Expected_Income[[#This Row],[Source]]="Saline", $N$52, " "))</f>
        <v xml:space="preserve"> </v>
      </c>
      <c r="P64" s="17" t="str">
        <f>IF(_2023_12\Expected_Income[[#This Row],[Source]]="Advantage",$P$51,IF(_2023_12\Expected_Income[[#This Row],[Source]]="Saline", $P$52, " "))</f>
        <v xml:space="preserve"> </v>
      </c>
      <c r="Q64" s="17" t="str">
        <f>IF(_2023_12\Expected_Income[[#This Row],[Source]]="Advantage",$O$51,IF(_2023_12\Expected_Income[[#This Row],[Source]]="Saline", $O$52, " "))</f>
        <v xml:space="preserve"> </v>
      </c>
      <c r="R64" s="17" t="str">
        <f>IF(_2023_12\Expected_Income[[#This Row],[Source]]&lt;&gt;"", _2023_12\Expected_Income[[#This Row],[Salary Income]]+_2023_12\Expected_Income[[#This Row],[Additional Taxable Income]]-_2023_12\Expected_Income[[#This Row],[Retirement Contributions]]-_2023_12\Expected_Income[[#This Row],[Pension Contributions]]-_2023_12\Expected_Income[[#This Row],[Healthcare Deductions]]-_2023_12\Expected_Income[[#This Row],[Other Payroll Deductions]]-_2023_12\Expected_Income[[#This Row],[Taxes]], "")</f>
        <v/>
      </c>
    </row>
    <row r="65" spans="2:18" x14ac:dyDescent="0.25">
      <c r="B65" s="6"/>
      <c r="C65" s="4"/>
      <c r="D65" s="4"/>
      <c r="E65" s="4"/>
      <c r="F65" s="4"/>
      <c r="G65" s="10"/>
    </row>
    <row r="66" spans="2:18" ht="23.25" x14ac:dyDescent="0.35">
      <c r="B66" s="6"/>
      <c r="C66" s="4"/>
      <c r="D66" s="4"/>
      <c r="E66" s="4"/>
      <c r="F66" s="4"/>
      <c r="G66" s="10"/>
      <c r="I66" s="2" t="s">
        <v>30</v>
      </c>
    </row>
    <row r="67" spans="2:18" x14ac:dyDescent="0.25">
      <c r="B67" s="6"/>
      <c r="C67" s="4"/>
      <c r="D67" s="4"/>
      <c r="E67" s="4"/>
      <c r="F67" s="4"/>
      <c r="G67" s="10"/>
      <c r="I67" s="1" t="s">
        <v>9</v>
      </c>
      <c r="J67" s="1" t="s">
        <v>21</v>
      </c>
      <c r="K67" s="1" t="s">
        <v>48</v>
      </c>
      <c r="L67" s="1" t="s">
        <v>49</v>
      </c>
      <c r="M67" s="1" t="s">
        <v>24</v>
      </c>
      <c r="N67" s="1" t="s">
        <v>50</v>
      </c>
      <c r="O67" s="1" t="s">
        <v>27</v>
      </c>
      <c r="P67" s="1" t="s">
        <v>25</v>
      </c>
      <c r="Q67" s="1" t="s">
        <v>28</v>
      </c>
      <c r="R67" s="1" t="s">
        <v>26</v>
      </c>
    </row>
    <row r="68" spans="2:18" x14ac:dyDescent="0.25">
      <c r="B68" s="6"/>
      <c r="C68" s="4"/>
      <c r="D68" s="4"/>
      <c r="E68" s="4"/>
      <c r="F68" s="4"/>
      <c r="G68" s="10"/>
      <c r="I68" s="6"/>
      <c r="J68" s="4"/>
      <c r="K68" s="5"/>
      <c r="L68" s="5"/>
      <c r="M68" s="5"/>
      <c r="N68" s="5"/>
      <c r="O68" s="10"/>
      <c r="P68" s="5"/>
      <c r="Q68" s="5"/>
      <c r="R68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69" spans="2:18" x14ac:dyDescent="0.25">
      <c r="B69" s="6"/>
      <c r="C69" s="4"/>
      <c r="D69" s="4"/>
      <c r="E69" s="4"/>
      <c r="F69" s="4"/>
      <c r="G69" s="10"/>
      <c r="I69" s="6"/>
      <c r="J69" s="4"/>
      <c r="K69" s="5"/>
      <c r="L69" s="5"/>
      <c r="M69" s="5"/>
      <c r="N69" s="5"/>
      <c r="O69" s="10"/>
      <c r="P69" s="5"/>
      <c r="Q69" s="5"/>
      <c r="R69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0" spans="2:18" x14ac:dyDescent="0.25">
      <c r="B70" s="6"/>
      <c r="C70" s="4"/>
      <c r="D70" s="4"/>
      <c r="E70" s="4"/>
      <c r="F70" s="4"/>
      <c r="G70" s="10"/>
      <c r="I70" s="6"/>
      <c r="J70" s="4"/>
      <c r="K70" s="5"/>
      <c r="L70" s="5"/>
      <c r="M70" s="5"/>
      <c r="N70" s="5"/>
      <c r="O70" s="10"/>
      <c r="P70" s="5"/>
      <c r="Q70" s="5"/>
      <c r="R70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1" spans="2:18" x14ac:dyDescent="0.25">
      <c r="B71" s="6"/>
      <c r="C71" s="4"/>
      <c r="D71" s="4"/>
      <c r="E71" s="4"/>
      <c r="F71" s="4"/>
      <c r="G71" s="10"/>
      <c r="I71" s="6"/>
      <c r="J71" s="4"/>
      <c r="K71" s="5"/>
      <c r="L71" s="5"/>
      <c r="M71" s="5"/>
      <c r="N71" s="5"/>
      <c r="O71" s="10"/>
      <c r="P71" s="5"/>
      <c r="Q71" s="5"/>
      <c r="R71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2" spans="2:18" x14ac:dyDescent="0.25">
      <c r="B72" s="6"/>
      <c r="C72" s="4"/>
      <c r="D72" s="4"/>
      <c r="E72" s="4"/>
      <c r="F72" s="4"/>
      <c r="G72" s="10"/>
      <c r="I72" s="6"/>
      <c r="J72" s="4"/>
      <c r="K72" s="5"/>
      <c r="L72" s="5"/>
      <c r="M72" s="5"/>
      <c r="N72" s="5"/>
      <c r="O72" s="10"/>
      <c r="P72" s="5"/>
      <c r="Q72" s="5"/>
      <c r="R72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3" spans="2:18" x14ac:dyDescent="0.25">
      <c r="B73" s="6"/>
      <c r="C73" s="4"/>
      <c r="D73" s="4"/>
      <c r="E73" s="4"/>
      <c r="F73" s="4"/>
      <c r="G73" s="10"/>
      <c r="I73" s="6"/>
      <c r="J73" s="4"/>
      <c r="K73" s="5"/>
      <c r="L73" s="5"/>
      <c r="M73" s="5"/>
      <c r="N73" s="5"/>
      <c r="O73" s="10"/>
      <c r="P73" s="5"/>
      <c r="Q73" s="5"/>
      <c r="R73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4" spans="2:18" x14ac:dyDescent="0.25">
      <c r="B74" s="6"/>
      <c r="C74" s="4"/>
      <c r="D74" s="4"/>
      <c r="E74" s="4"/>
      <c r="F74" s="4"/>
      <c r="G74" s="10"/>
      <c r="I74" s="6"/>
      <c r="J74" s="4"/>
      <c r="K74" s="5"/>
      <c r="L74" s="5"/>
      <c r="M74" s="5"/>
      <c r="N74" s="5"/>
      <c r="O74" s="10"/>
      <c r="P74" s="5"/>
      <c r="Q74" s="5"/>
      <c r="R74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5" spans="2:18" x14ac:dyDescent="0.25">
      <c r="B75" s="6"/>
      <c r="C75" s="4"/>
      <c r="D75" s="4"/>
      <c r="E75" s="4"/>
      <c r="F75" s="4"/>
      <c r="G75" s="10"/>
      <c r="I75" s="6"/>
      <c r="J75" s="4"/>
      <c r="K75" s="5"/>
      <c r="L75" s="5"/>
      <c r="M75" s="5"/>
      <c r="N75" s="5"/>
      <c r="O75" s="10"/>
      <c r="P75" s="5"/>
      <c r="Q75" s="5"/>
      <c r="R75" s="15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6" spans="2:18" x14ac:dyDescent="0.25">
      <c r="B76" s="6"/>
      <c r="C76" s="4"/>
      <c r="D76" s="4"/>
      <c r="E76" s="4"/>
      <c r="F76" s="4"/>
      <c r="G76" s="10"/>
      <c r="I76" s="8"/>
      <c r="J76" s="7"/>
      <c r="K76" s="9"/>
      <c r="L76" s="9"/>
      <c r="M76" s="9"/>
      <c r="N76" s="9"/>
      <c r="O76" s="12"/>
      <c r="P76" s="9"/>
      <c r="Q76" s="9"/>
      <c r="R76" s="17">
        <f>_2023_12\Actual_Income[[#This Row],[Salary Income]]+_2023_12\Actual_Income[[#This Row],[Additional Taxable Income]]-_2023_12\Actual_Income[[#This Row],[Retirement Contributions]]-_2023_12\Actual_Income[[#This Row],[Pension Contributions]]-_2023_12\Actual_Income[[#This Row],[Healthcare Deductions]]-_2023_12\Actual_Income[[#This Row],[Other Payroll Deductions]]-_2023_12\Actual_Income[[#This Row],[Taxes]]</f>
        <v>0</v>
      </c>
    </row>
    <row r="77" spans="2:18" x14ac:dyDescent="0.25">
      <c r="B77" s="6"/>
      <c r="C77" s="4"/>
      <c r="D77" s="4"/>
      <c r="E77" s="4"/>
      <c r="F77" s="4"/>
      <c r="G77" s="10"/>
    </row>
    <row r="78" spans="2:18" x14ac:dyDescent="0.25">
      <c r="B78" s="6"/>
      <c r="C78" s="4"/>
      <c r="D78" s="4"/>
      <c r="E78" s="4"/>
      <c r="F78" s="4"/>
      <c r="G78" s="10"/>
    </row>
    <row r="79" spans="2:18" x14ac:dyDescent="0.25">
      <c r="B79" s="6"/>
      <c r="C79" s="4"/>
      <c r="D79" s="4"/>
      <c r="E79" s="4"/>
      <c r="F79" s="4"/>
      <c r="G79" s="10"/>
    </row>
    <row r="80" spans="2:18" x14ac:dyDescent="0.25">
      <c r="B80" s="6"/>
      <c r="C80" s="4"/>
      <c r="D80" s="4"/>
      <c r="E80" s="4"/>
      <c r="F80" s="4"/>
      <c r="G80" s="10"/>
    </row>
    <row r="81" spans="2:7" x14ac:dyDescent="0.25">
      <c r="B81" s="6"/>
      <c r="C81" s="4"/>
      <c r="D81" s="4"/>
      <c r="E81" s="4"/>
      <c r="F81" s="4"/>
      <c r="G81" s="10"/>
    </row>
    <row r="82" spans="2:7" x14ac:dyDescent="0.25">
      <c r="B82" s="6"/>
      <c r="C82" s="4"/>
      <c r="D82" s="4"/>
      <c r="E82" s="4"/>
      <c r="F82" s="4"/>
      <c r="G82" s="10"/>
    </row>
    <row r="83" spans="2:7" x14ac:dyDescent="0.25">
      <c r="B83" s="6"/>
      <c r="C83" s="4"/>
      <c r="D83" s="4"/>
      <c r="E83" s="4"/>
      <c r="F83" s="4"/>
      <c r="G83" s="10"/>
    </row>
    <row r="84" spans="2:7" x14ac:dyDescent="0.25">
      <c r="B84" s="6"/>
      <c r="C84" s="4"/>
      <c r="D84" s="4"/>
      <c r="E84" s="4"/>
      <c r="F84" s="4"/>
      <c r="G84" s="10"/>
    </row>
    <row r="85" spans="2:7" x14ac:dyDescent="0.25">
      <c r="B85" s="6"/>
      <c r="C85" s="4"/>
      <c r="D85" s="4"/>
      <c r="E85" s="4"/>
      <c r="F85" s="4"/>
      <c r="G85" s="10"/>
    </row>
    <row r="86" spans="2:7" x14ac:dyDescent="0.25">
      <c r="B86" s="6"/>
      <c r="C86" s="4"/>
      <c r="D86" s="4"/>
      <c r="E86" s="4"/>
      <c r="F86" s="4"/>
      <c r="G86" s="10"/>
    </row>
    <row r="87" spans="2:7" x14ac:dyDescent="0.25">
      <c r="B87" s="6"/>
      <c r="C87" s="4"/>
      <c r="D87" s="4"/>
      <c r="E87" s="4"/>
      <c r="F87" s="4"/>
      <c r="G87" s="10"/>
    </row>
    <row r="88" spans="2:7" x14ac:dyDescent="0.25">
      <c r="B88" s="6"/>
      <c r="C88" s="4"/>
      <c r="D88" s="4"/>
      <c r="E88" s="4"/>
      <c r="F88" s="4"/>
      <c r="G88" s="10"/>
    </row>
    <row r="89" spans="2:7" x14ac:dyDescent="0.25">
      <c r="B89" s="6"/>
      <c r="C89" s="4"/>
      <c r="D89" s="4"/>
      <c r="E89" s="4"/>
      <c r="F89" s="4"/>
      <c r="G89" s="10"/>
    </row>
    <row r="90" spans="2:7" x14ac:dyDescent="0.25">
      <c r="B90" s="6"/>
      <c r="C90" s="4"/>
      <c r="D90" s="4"/>
      <c r="E90" s="4"/>
      <c r="F90" s="4"/>
      <c r="G90" s="10"/>
    </row>
    <row r="91" spans="2:7" x14ac:dyDescent="0.25">
      <c r="B91" s="6"/>
      <c r="C91" s="4"/>
      <c r="D91" s="4"/>
      <c r="E91" s="4"/>
      <c r="F91" s="4"/>
      <c r="G91" s="10"/>
    </row>
    <row r="92" spans="2:7" x14ac:dyDescent="0.25">
      <c r="B92" s="6"/>
      <c r="C92" s="4"/>
      <c r="D92" s="4"/>
      <c r="E92" s="4"/>
      <c r="F92" s="4"/>
      <c r="G92" s="10"/>
    </row>
    <row r="93" spans="2:7" x14ac:dyDescent="0.25">
      <c r="B93" s="6"/>
      <c r="C93" s="4"/>
      <c r="D93" s="4"/>
      <c r="E93" s="4"/>
      <c r="F93" s="4"/>
      <c r="G93" s="10"/>
    </row>
    <row r="94" spans="2:7" x14ac:dyDescent="0.25">
      <c r="B94" s="6"/>
      <c r="C94" s="4"/>
      <c r="D94" s="4"/>
      <c r="E94" s="4"/>
      <c r="F94" s="4"/>
      <c r="G94" s="10"/>
    </row>
    <row r="95" spans="2:7" x14ac:dyDescent="0.25">
      <c r="B95" s="6"/>
      <c r="C95" s="4"/>
      <c r="D95" s="4"/>
      <c r="E95" s="4"/>
      <c r="F95" s="4"/>
      <c r="G95" s="10"/>
    </row>
    <row r="96" spans="2:7" x14ac:dyDescent="0.25">
      <c r="B96" s="6"/>
      <c r="C96" s="4"/>
      <c r="D96" s="4"/>
      <c r="E96" s="4"/>
      <c r="F96" s="4"/>
      <c r="G96" s="10"/>
    </row>
    <row r="97" spans="2:7" x14ac:dyDescent="0.25">
      <c r="B97" s="6"/>
      <c r="C97" s="4"/>
      <c r="D97" s="4"/>
      <c r="E97" s="4"/>
      <c r="F97" s="4"/>
      <c r="G97" s="10"/>
    </row>
    <row r="98" spans="2:7" x14ac:dyDescent="0.25">
      <c r="B98" s="6"/>
      <c r="C98" s="4"/>
      <c r="D98" s="4"/>
      <c r="E98" s="4"/>
      <c r="F98" s="4"/>
      <c r="G98" s="10"/>
    </row>
    <row r="99" spans="2:7" x14ac:dyDescent="0.25">
      <c r="B99" s="6"/>
      <c r="C99" s="4"/>
      <c r="D99" s="4"/>
      <c r="E99" s="4"/>
      <c r="F99" s="4"/>
      <c r="G99" s="10"/>
    </row>
    <row r="100" spans="2:7" x14ac:dyDescent="0.25">
      <c r="B100" s="6"/>
      <c r="C100" s="4"/>
      <c r="D100" s="4"/>
      <c r="E100" s="4"/>
      <c r="F100" s="4"/>
      <c r="G100" s="10"/>
    </row>
    <row r="101" spans="2:7" x14ac:dyDescent="0.25">
      <c r="B101" s="6"/>
      <c r="C101" s="4"/>
      <c r="D101" s="4"/>
      <c r="E101" s="4"/>
      <c r="F101" s="4"/>
      <c r="G101" s="10"/>
    </row>
    <row r="102" spans="2:7" x14ac:dyDescent="0.25">
      <c r="B102" s="6"/>
      <c r="C102" s="4"/>
      <c r="D102" s="4"/>
      <c r="E102" s="4"/>
      <c r="F102" s="4"/>
      <c r="G102" s="10"/>
    </row>
    <row r="103" spans="2:7" x14ac:dyDescent="0.25">
      <c r="B103" s="6"/>
      <c r="C103" s="4"/>
      <c r="D103" s="4"/>
      <c r="E103" s="4"/>
      <c r="F103" s="4"/>
      <c r="G103" s="10"/>
    </row>
    <row r="104" spans="2:7" x14ac:dyDescent="0.25">
      <c r="B104" s="6"/>
      <c r="C104" s="4"/>
      <c r="D104" s="4"/>
      <c r="E104" s="4"/>
      <c r="F104" s="4"/>
      <c r="G104" s="10"/>
    </row>
    <row r="105" spans="2:7" x14ac:dyDescent="0.25">
      <c r="B105" s="6"/>
      <c r="C105" s="4"/>
      <c r="D105" s="4"/>
      <c r="E105" s="4"/>
      <c r="F105" s="4"/>
      <c r="G105" s="10"/>
    </row>
    <row r="106" spans="2:7" x14ac:dyDescent="0.25">
      <c r="B106" s="6"/>
      <c r="C106" s="4"/>
      <c r="D106" s="4"/>
      <c r="E106" s="4"/>
      <c r="F106" s="4"/>
      <c r="G106" s="10"/>
    </row>
    <row r="107" spans="2:7" x14ac:dyDescent="0.25">
      <c r="B107" s="6"/>
      <c r="C107" s="4"/>
      <c r="D107" s="4"/>
      <c r="E107" s="4"/>
      <c r="F107" s="4"/>
      <c r="G107" s="10"/>
    </row>
    <row r="108" spans="2:7" x14ac:dyDescent="0.25">
      <c r="B108" s="6"/>
      <c r="C108" s="4"/>
      <c r="D108" s="4"/>
      <c r="E108" s="4"/>
      <c r="F108" s="4"/>
      <c r="G108" s="10"/>
    </row>
    <row r="109" spans="2:7" x14ac:dyDescent="0.25">
      <c r="B109" s="6"/>
      <c r="C109" s="4"/>
      <c r="D109" s="4"/>
      <c r="E109" s="4"/>
      <c r="F109" s="4"/>
      <c r="G109" s="10"/>
    </row>
    <row r="110" spans="2:7" x14ac:dyDescent="0.25">
      <c r="B110" s="6"/>
      <c r="C110" s="4"/>
      <c r="D110" s="4"/>
      <c r="E110" s="4"/>
      <c r="F110" s="4"/>
      <c r="G110" s="10"/>
    </row>
    <row r="111" spans="2:7" x14ac:dyDescent="0.25">
      <c r="B111" s="6"/>
      <c r="C111" s="4"/>
      <c r="D111" s="4"/>
      <c r="E111" s="4"/>
      <c r="F111" s="4"/>
      <c r="G111" s="10"/>
    </row>
    <row r="112" spans="2:7" x14ac:dyDescent="0.25">
      <c r="B112" s="6"/>
      <c r="C112" s="4"/>
      <c r="D112" s="4"/>
      <c r="E112" s="4"/>
      <c r="F112" s="4"/>
      <c r="G112" s="10"/>
    </row>
    <row r="113" spans="2:7" x14ac:dyDescent="0.25">
      <c r="B113" s="6"/>
      <c r="C113" s="4"/>
      <c r="D113" s="4"/>
      <c r="E113" s="4"/>
      <c r="F113" s="4"/>
      <c r="G113" s="10"/>
    </row>
    <row r="114" spans="2:7" x14ac:dyDescent="0.25">
      <c r="B114" s="6"/>
      <c r="C114" s="4"/>
      <c r="D114" s="4"/>
      <c r="E114" s="4"/>
      <c r="F114" s="4"/>
      <c r="G114" s="10"/>
    </row>
    <row r="115" spans="2:7" x14ac:dyDescent="0.25">
      <c r="B115" s="6"/>
      <c r="C115" s="4"/>
      <c r="D115" s="4"/>
      <c r="E115" s="4"/>
      <c r="F115" s="4"/>
      <c r="G115" s="10"/>
    </row>
    <row r="116" spans="2:7" x14ac:dyDescent="0.25">
      <c r="B116" s="6"/>
      <c r="C116" s="4"/>
      <c r="D116" s="4"/>
      <c r="E116" s="4"/>
      <c r="F116" s="4"/>
      <c r="G116" s="10"/>
    </row>
    <row r="117" spans="2:7" x14ac:dyDescent="0.25">
      <c r="B117" s="6"/>
      <c r="C117" s="4"/>
      <c r="D117" s="4"/>
      <c r="E117" s="4"/>
      <c r="F117" s="4"/>
      <c r="G117" s="10"/>
    </row>
    <row r="118" spans="2:7" x14ac:dyDescent="0.25">
      <c r="B118" s="6"/>
      <c r="C118" s="4"/>
      <c r="D118" s="4"/>
      <c r="E118" s="4"/>
      <c r="F118" s="4"/>
      <c r="G118" s="10"/>
    </row>
    <row r="119" spans="2:7" x14ac:dyDescent="0.25">
      <c r="B119" s="6"/>
      <c r="C119" s="4"/>
      <c r="D119" s="4"/>
      <c r="E119" s="4"/>
      <c r="F119" s="4"/>
      <c r="G119" s="10"/>
    </row>
    <row r="120" spans="2:7" x14ac:dyDescent="0.25">
      <c r="B120" s="6"/>
      <c r="C120" s="4"/>
      <c r="D120" s="4"/>
      <c r="E120" s="4"/>
      <c r="F120" s="4"/>
      <c r="G120" s="10"/>
    </row>
  </sheetData>
  <sheetProtection sheet="1" objects="1" scenarios="1"/>
  <conditionalFormatting sqref="G76:G120">
    <cfRule type="expression" dxfId="77" priority="18">
      <formula>AND(INDIRECT("_" &amp; SUBSTITUTE($C$2,"-","_") &amp; "\Transactions[@Category]") &lt;&gt; "Savings", INDIRECT("_" &amp; SUBSTITUTE($C$2,"-","_") &amp; "\Transactions[@Type]") = "Credit")</formula>
    </cfRule>
    <cfRule type="expression" dxfId="76" priority="19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P6:P22">
    <cfRule type="expression" dxfId="75" priority="15">
      <formula>AND(INDIRECT("_" &amp; SUBSTITUTE($C$2,"-","_") &amp; "\Budgets[@Type]")&lt;&gt;"Saving", INDIRECT("_" &amp; SUBSTITUTE($C$2,"-","_") &amp; "\Budgets[@[Remaining Budget]]")&lt;0)</formula>
    </cfRule>
  </conditionalFormatting>
  <conditionalFormatting sqref="E5 E10">
    <cfRule type="expression" dxfId="74" priority="11">
      <formula>E5&lt;0</formula>
    </cfRule>
    <cfRule type="expression" dxfId="73" priority="12">
      <formula>E5&gt;0</formula>
    </cfRule>
  </conditionalFormatting>
  <conditionalFormatting sqref="E6:E9">
    <cfRule type="expression" dxfId="72" priority="13">
      <formula>E6&lt;0</formula>
    </cfRule>
    <cfRule type="expression" dxfId="71" priority="14">
      <formula>E6&gt;0</formula>
    </cfRule>
  </conditionalFormatting>
  <conditionalFormatting sqref="E14">
    <cfRule type="expression" dxfId="70" priority="7">
      <formula>E14&lt;0</formula>
    </cfRule>
    <cfRule type="expression" dxfId="69" priority="8">
      <formula>E14&gt;0</formula>
    </cfRule>
  </conditionalFormatting>
  <conditionalFormatting sqref="E13 E15">
    <cfRule type="expression" dxfId="68" priority="9">
      <formula>E13&lt;0</formula>
    </cfRule>
    <cfRule type="expression" dxfId="67" priority="10">
      <formula>E13&gt;0</formula>
    </cfRule>
  </conditionalFormatting>
  <conditionalFormatting sqref="M26:M28">
    <cfRule type="expression" dxfId="66" priority="5">
      <formula>AND(INDIRECT("_" &amp; SUBSTITUTE($C$2,"-","_") &amp; "\Budgets[@Type]")="Saving", INDIRECT("_" &amp; SUBSTITUTE($C$2,"-","_") &amp; "\Budgets[@[Remaining Budget]]")&lt;0)</formula>
    </cfRule>
    <cfRule type="expression" dxfId="65" priority="6">
      <formula>AND(INDIRECT("_" &amp; SUBSTITUTE($C$2,"-","_") &amp; "\Budgets[@Type]")="Saving", INDIRECT("_" &amp; SUBSTITUTE($C$2,"-","_") &amp; "\Budgets[@[Remaining Budget]]")&gt;0)</formula>
    </cfRule>
  </conditionalFormatting>
  <conditionalFormatting sqref="G55:G75">
    <cfRule type="expression" dxfId="64" priority="3">
      <formula>AND(INDIRECT("_" &amp; SUBSTITUTE($C$2,"-","_") &amp; "\Transactions[@Category]") &lt;&gt; "Savings", INDIRECT("_" &amp; SUBSTITUTE($C$2,"-","_") &amp; "\Transactions[@Type]") = "Credit")</formula>
    </cfRule>
    <cfRule type="expression" dxfId="63" priority="4">
      <formula>AND(INDIRECT("_" &amp; SUBSTITUTE($C$2,"-","_") &amp; "\Transactions[@Category]") = "Savings", INDIRECT("_" &amp; SUBSTITUTE($C$2,"-","_") &amp; "\Transactions[@Type]") = "Debit")</formula>
    </cfRule>
  </conditionalFormatting>
  <conditionalFormatting sqref="G20:G54">
    <cfRule type="expression" dxfId="62" priority="1">
      <formula>AND(INDIRECT("_" &amp; SUBSTITUTE($C$2,"-","_") &amp; "\Transactions[@Category]") &lt;&gt; "Savings", INDIRECT("_" &amp; SUBSTITUTE($C$2,"-","_") &amp; "\Transactions[@Type]") = "Credit")</formula>
    </cfRule>
    <cfRule type="expression" dxfId="61" priority="2">
      <formula>AND(INDIRECT("_" &amp; SUBSTITUTE($C$2,"-","_") &amp; "\Transactions[@Category]") = "Savings", INDIRECT("_" &amp; SUBSTITUTE($C$2,"-","_") &amp; "\Transactions[@Type]") = "Debit")</formula>
    </cfRule>
  </conditionalFormatting>
  <dataValidations count="4">
    <dataValidation type="list" showInputMessage="1" showErrorMessage="1" sqref="J6:J18" xr:uid="{ED675338-0437-4680-A7B1-EEB249CAD605}">
      <formula1>"Rolling,Fixed"</formula1>
    </dataValidation>
    <dataValidation type="list" allowBlank="1" showInputMessage="1" showErrorMessage="1" sqref="F20:F120" xr:uid="{E11CC96A-256F-42CF-B08D-EEBF5E1FA1A8}">
      <formula1>"Credit,Debit"</formula1>
    </dataValidation>
    <dataValidation type="list" allowBlank="1" showInputMessage="1" showErrorMessage="1" sqref="J32:J47" xr:uid="{DCAB1BAE-B1DB-467A-B08F-7D9FA343CDB2}">
      <formula1>"Spending,Reserve,Savings,Loan,Safety Net,Retirement"</formula1>
    </dataValidation>
    <dataValidation type="list" allowBlank="1" showInputMessage="1" showErrorMessage="1" sqref="E20:E120" xr:uid="{7FEAE1A4-6377-4EE2-8871-9CB2D9DEF996}">
      <formula1>$I$6:$I$28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2023-12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Forche</dc:creator>
  <cp:lastModifiedBy>Andy Forche</cp:lastModifiedBy>
  <dcterms:created xsi:type="dcterms:W3CDTF">2022-12-14T00:19:02Z</dcterms:created>
  <dcterms:modified xsi:type="dcterms:W3CDTF">2023-12-30T02:35:53Z</dcterms:modified>
</cp:coreProperties>
</file>